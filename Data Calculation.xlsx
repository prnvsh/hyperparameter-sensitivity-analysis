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betes" sheetId="1" r:id="rId4"/>
    <sheet state="visible" name="Mushroom" sheetId="2" r:id="rId5"/>
    <sheet state="visible" name="Student Dropout" sheetId="3" r:id="rId6"/>
    <sheet state="visible" name="Abalone" sheetId="4" r:id="rId7"/>
    <sheet state="visible" name="Credit Card" sheetId="5" r:id="rId8"/>
    <sheet state="visible" name="Entire Dataset" sheetId="6" r:id="rId9"/>
  </sheets>
  <definedNames/>
  <calcPr/>
</workbook>
</file>

<file path=xl/sharedStrings.xml><?xml version="1.0" encoding="utf-8"?>
<sst xmlns="http://schemas.openxmlformats.org/spreadsheetml/2006/main" count="162" uniqueCount="56">
  <si>
    <t>Model</t>
  </si>
  <si>
    <t>F1 Score Variance</t>
  </si>
  <si>
    <t>AUC Variance</t>
  </si>
  <si>
    <t>Accuracy Variance</t>
  </si>
  <si>
    <t>Variance</t>
  </si>
  <si>
    <t>Diagnosis</t>
  </si>
  <si>
    <t>Implication for Diabetes</t>
  </si>
  <si>
    <t>decision_tree</t>
  </si>
  <si>
    <t>High (0.004)</t>
  </si>
  <si>
    <t>Overfitting</t>
  </si>
  <si>
    <t>The model is confused by outliers (e.g., high BMI but low Glucose). It is too sensitive.</t>
  </si>
  <si>
    <t>knn</t>
  </si>
  <si>
    <t>Medium (~0.0004)</t>
  </si>
  <si>
    <t>Balanced</t>
  </si>
  <si>
    <t>This is likely your "sweet spot." It is capturing local patterns (clusters of patients) without being as erratic as the tree.</t>
  </si>
  <si>
    <t>logistic_regression</t>
  </si>
  <si>
    <t>Zero (0)</t>
  </si>
  <si>
    <t>Underfitting</t>
  </si>
  <si>
    <t>These models are likely too rigid. They are consistent, but they might be consistently missing the difficult cases.</t>
  </si>
  <si>
    <t>svm</t>
  </si>
  <si>
    <t>Overall Variance</t>
  </si>
  <si>
    <t>Insight for This Dataset</t>
  </si>
  <si>
    <t>Logistic Regression</t>
  </si>
  <si>
    <t>Perfect Stability</t>
  </si>
  <si>
    <t>The dataset is linearly separable. The model finds a distinct, non-overlapping line between "Edible" and "Poisonous" every single time.</t>
  </si>
  <si>
    <t>SVM</t>
  </si>
  <si>
    <t>Similar to Logistic Regression, the margin between classes is likely huge. The model doesn't struggle with "edge cases" because there are none.</t>
  </si>
  <si>
    <t>kNN</t>
  </si>
  <si>
    <t>The data points form distinct, tight clusters. There is no "noise" or overlapping points to confuse the nearest neighbor logic.</t>
  </si>
  <si>
    <t>Decision Tree</t>
  </si>
  <si>
    <t>Negligible Noise</t>
  </si>
  <si>
    <t>While effectively perfect, the structure of the tree changes slightly between data folds (e.g., splitting on "Odor" vs "Color" first), causing tiny mathematical variance.</t>
  </si>
  <si>
    <t>Diagnosis Status</t>
  </si>
  <si>
    <t>Root Cause &amp; Insight</t>
  </si>
  <si>
    <t>Highly Stable</t>
  </si>
  <si>
    <t>Dominant Linear Features. The features Curricular units 2nd sem (approved) and Tuition fees have such strong linear correlations with the target that the model finds the exact same optimal "boundary" every time.</t>
  </si>
  <si>
    <t>Similar to Logistic Regression, the margin between "Dropout" and "Graduate" is wide and clear in the feature space, leading to a consistent solution across all data folds.</t>
  </si>
  <si>
    <t>Distinct Clustering. Students with similar grades and tuition status cluster very tightly. There is little "overlap" or noise at the boundaries to confuse the nearest neighbor algorithm.</t>
  </si>
  <si>
    <t>Slight Instability</t>
  </si>
  <si>
    <t>Structural Sensitivity. Unlike the others, Decision Trees are "greedy." A tiny change in the training data might cause the tree to pick a different feature for the first split (e.g., "Grades" vs. "Tuition"), leading to slightly different trees and variance &gt; 0.</t>
  </si>
  <si>
    <t>Interpretation / Insight</t>
  </si>
  <si>
    <t>Highest variance → unstable, sensitive to data splits, likely overfitting. Needs pruning or ensembles.</t>
  </si>
  <si>
    <t>Low variance → stable, but linear nature means it may miss nonlinear patterns in Abalone.</t>
  </si>
  <si>
    <t>Zero variance → very stable, but likely underfitting or consistently poor due to dataset complexity.</t>
  </si>
  <si>
    <t>Zero variance → stable but likely underfitting; may need kernel tuning or scaling to perform better.</t>
  </si>
  <si>
    <t>Strong linear separability in the feature space leads to a single, optimal decision boundary. Hyperparameter variations do not significantly alter the model’s learned coefficients, resulting in zero variance across runs.</t>
  </si>
  <si>
    <t>The dataset exhibits a clear margin between classes. As a maximum-margin classifier, SVM consistently finds the same separating hyperplane, making it insensitive to hyperparameter changes within the tested range.</t>
  </si>
  <si>
    <t>Instances form tight and well-separated clusters. Since nearest neighbors remain identical across hyperparameter choices, predictions do not change, resulting in zero observed variance.</t>
  </si>
  <si>
    <t>Decision Trees use a greedy, hierarchical split strategy. Minor variations in data or hyperparameters can alter early split decisions, producing different tree structures and a small but non-zero variance.</t>
  </si>
  <si>
    <t>FINAL PROJECT</t>
  </si>
  <si>
    <t>Diabetes</t>
  </si>
  <si>
    <t>Mushroom</t>
  </si>
  <si>
    <t>Student Droput</t>
  </si>
  <si>
    <t>Abalone</t>
  </si>
  <si>
    <t>Credit Card</t>
  </si>
  <si>
    <t>logistic regression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</si>
</sst>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000"/>
  </numFmts>
  <fonts count="10">
    <font>
      <sz val="10.0"/>
      <color rgb="FF000000"/>
      <name val="Arial"/>
      <scheme val="minor"/>
    </font>
    <font>
      <b/>
      <color rgb="FF1F1F1F"/>
      <name val="&quot;Google Sans Text&quot;"/>
    </font>
    <font>
      <b/>
      <color theme="1"/>
      <name val="Arial"/>
      <scheme val="minor"/>
    </font>
    <font>
      <color theme="1"/>
      <name val="Arial"/>
      <scheme val="minor"/>
    </font>
    <font>
      <color rgb="FF1F1F1F"/>
      <name val="&quot;Google Sans Text&quot;"/>
    </font>
    <font/>
    <font>
      <b/>
      <color theme="1"/>
      <name val="Arial"/>
    </font>
    <font>
      <color theme="1"/>
      <name val="Arial"/>
    </font>
    <font>
      <sz val="26.0"/>
      <color theme="1"/>
      <name val="Arial"/>
      <scheme val="minor"/>
    </font>
    <font>
      <b/>
      <color rgb="FFFFFFFF"/>
      <name val="Arial"/>
      <scheme val="minor"/>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666666"/>
        <bgColor rgb="FF666666"/>
      </patternFill>
    </fill>
    <fill>
      <patternFill patternType="solid">
        <fgColor rgb="FFFF0000"/>
        <bgColor rgb="FFFF0000"/>
      </patternFill>
    </fill>
    <fill>
      <patternFill patternType="solid">
        <fgColor rgb="FFD9D9D9"/>
        <bgColor rgb="FFD9D9D9"/>
      </patternFill>
    </fill>
    <fill>
      <patternFill patternType="solid">
        <fgColor rgb="FF1155CC"/>
        <bgColor rgb="FF1155CC"/>
      </patternFill>
    </fill>
    <fill>
      <patternFill patternType="solid">
        <fgColor rgb="FFFDCD67"/>
        <bgColor rgb="FFFDCD67"/>
      </patternFill>
    </fill>
  </fills>
  <borders count="33">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1" numFmtId="0" xfId="0" applyAlignment="1" applyBorder="1" applyFont="1">
      <alignment readingOrder="0"/>
    </xf>
    <xf borderId="3" fillId="2" fontId="2" numFmtId="0" xfId="0" applyAlignment="1" applyBorder="1" applyFont="1">
      <alignment readingOrder="0"/>
    </xf>
    <xf borderId="0" fillId="3" fontId="3" numFmtId="0" xfId="0" applyFill="1" applyFont="1"/>
    <xf borderId="2" fillId="2" fontId="2" numFmtId="0" xfId="0" applyAlignment="1" applyBorder="1" applyFont="1">
      <alignment readingOrder="0"/>
    </xf>
    <xf borderId="3" fillId="2" fontId="1" numFmtId="0" xfId="0" applyAlignment="1" applyBorder="1" applyFont="1">
      <alignment readingOrder="0" shrinkToFit="0" wrapText="1"/>
    </xf>
    <xf borderId="0" fillId="0" fontId="4" numFmtId="0" xfId="0" applyAlignment="1" applyFont="1">
      <alignment readingOrder="0"/>
    </xf>
    <xf borderId="4" fillId="0" fontId="1" numFmtId="0" xfId="0" applyAlignment="1" applyBorder="1" applyFont="1">
      <alignment readingOrder="0"/>
    </xf>
    <xf borderId="5" fillId="0" fontId="4" numFmtId="0" xfId="0" applyAlignment="1" applyBorder="1" applyFont="1">
      <alignment readingOrder="0"/>
    </xf>
    <xf borderId="6" fillId="0" fontId="3" numFmtId="0" xfId="0" applyBorder="1" applyFont="1"/>
    <xf borderId="5" fillId="0" fontId="3" numFmtId="0" xfId="0" applyBorder="1" applyFont="1"/>
    <xf borderId="5" fillId="0" fontId="1" numFmtId="0" xfId="0" applyAlignment="1" applyBorder="1" applyFont="1">
      <alignment readingOrder="0"/>
    </xf>
    <xf borderId="6" fillId="0" fontId="4" numFmtId="0" xfId="0" applyAlignment="1" applyBorder="1" applyFont="1">
      <alignment readingOrder="0" shrinkToFit="0" wrapText="1"/>
    </xf>
    <xf borderId="6" fillId="0" fontId="3" numFmtId="164" xfId="0" applyBorder="1" applyFont="1" applyNumberFormat="1"/>
    <xf borderId="7" fillId="0" fontId="1" numFmtId="0" xfId="0" applyAlignment="1" applyBorder="1" applyFont="1">
      <alignment readingOrder="0"/>
    </xf>
    <xf borderId="8" fillId="0" fontId="4" numFmtId="0" xfId="0" applyAlignment="1" applyBorder="1" applyFont="1">
      <alignment readingOrder="0" shrinkToFit="0" wrapText="1"/>
    </xf>
    <xf borderId="9" fillId="0" fontId="1" numFmtId="0" xfId="0" applyAlignment="1" applyBorder="1" applyFont="1">
      <alignment readingOrder="0"/>
    </xf>
    <xf borderId="10" fillId="0" fontId="4" numFmtId="0" xfId="0" applyAlignment="1" applyBorder="1" applyFont="1">
      <alignment readingOrder="0"/>
    </xf>
    <xf borderId="11" fillId="0" fontId="3" numFmtId="0" xfId="0" applyBorder="1" applyFont="1"/>
    <xf borderId="10" fillId="0" fontId="3" numFmtId="0" xfId="0" applyBorder="1" applyFont="1"/>
    <xf borderId="12" fillId="0" fontId="5" numFmtId="0" xfId="0" applyBorder="1" applyFont="1"/>
    <xf borderId="13" fillId="0" fontId="5" numFmtId="0" xfId="0" applyBorder="1" applyFont="1"/>
    <xf borderId="14" fillId="0" fontId="3" numFmtId="0" xfId="0" applyBorder="1" applyFont="1"/>
    <xf borderId="15" fillId="0" fontId="5" numFmtId="0" xfId="0" applyBorder="1" applyFont="1"/>
    <xf borderId="16" fillId="0" fontId="5" numFmtId="0" xfId="0" applyBorder="1" applyFont="1"/>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21" fillId="0" fontId="5" numFmtId="0" xfId="0" applyBorder="1" applyFont="1"/>
    <xf borderId="5" fillId="2" fontId="1" numFmtId="0" xfId="0" applyAlignment="1" applyBorder="1" applyFont="1">
      <alignment readingOrder="0"/>
    </xf>
    <xf borderId="5" fillId="2" fontId="1" numFmtId="0" xfId="0" applyAlignment="1" applyBorder="1" applyFont="1">
      <alignment readingOrder="0" shrinkToFit="0" wrapText="1"/>
    </xf>
    <xf borderId="5" fillId="0" fontId="4" numFmtId="0" xfId="0" applyAlignment="1" applyBorder="1" applyFont="1">
      <alignment readingOrder="0" shrinkToFit="0" wrapText="1"/>
    </xf>
    <xf borderId="7" fillId="0" fontId="4" numFmtId="0" xfId="0" applyAlignment="1" applyBorder="1" applyFont="1">
      <alignment readingOrder="0"/>
    </xf>
    <xf borderId="7" fillId="0" fontId="4" numFmtId="0" xfId="0" applyAlignment="1" applyBorder="1" applyFont="1">
      <alignment readingOrder="0" shrinkToFit="0" wrapText="1"/>
    </xf>
    <xf borderId="22" fillId="2" fontId="4" numFmtId="0" xfId="0" applyAlignment="1" applyBorder="1" applyFont="1">
      <alignment readingOrder="0"/>
    </xf>
    <xf borderId="23" fillId="2" fontId="4" numFmtId="0" xfId="0" applyAlignment="1" applyBorder="1" applyFont="1">
      <alignment readingOrder="0"/>
    </xf>
    <xf borderId="23" fillId="2" fontId="2" numFmtId="0" xfId="0" applyAlignment="1" applyBorder="1" applyFont="1">
      <alignment horizontal="center" readingOrder="0"/>
    </xf>
    <xf borderId="23" fillId="2" fontId="1" numFmtId="0" xfId="0" applyAlignment="1" applyBorder="1" applyFont="1">
      <alignment readingOrder="0"/>
    </xf>
    <xf borderId="24" fillId="2" fontId="1" numFmtId="0" xfId="0" applyAlignment="1" applyBorder="1" applyFont="1">
      <alignment readingOrder="0"/>
    </xf>
    <xf borderId="25" fillId="0" fontId="1" numFmtId="0" xfId="0" applyAlignment="1" applyBorder="1" applyFont="1">
      <alignment readingOrder="0"/>
    </xf>
    <xf borderId="0" fillId="0" fontId="1" numFmtId="0" xfId="0" applyAlignment="1" applyFont="1">
      <alignment readingOrder="0"/>
    </xf>
    <xf borderId="26" fillId="0" fontId="4" numFmtId="0" xfId="0" applyAlignment="1" applyBorder="1" applyFont="1">
      <alignment readingOrder="0" shrinkToFit="0" wrapText="1"/>
    </xf>
    <xf borderId="27" fillId="0" fontId="1" numFmtId="0" xfId="0" applyAlignment="1" applyBorder="1" applyFont="1">
      <alignment readingOrder="0"/>
    </xf>
    <xf borderId="28" fillId="0" fontId="4" numFmtId="0" xfId="0" applyAlignment="1" applyBorder="1" applyFont="1">
      <alignment readingOrder="0"/>
    </xf>
    <xf borderId="28" fillId="0" fontId="1" numFmtId="0" xfId="0" applyAlignment="1" applyBorder="1" applyFont="1">
      <alignment readingOrder="0"/>
    </xf>
    <xf borderId="28" fillId="0" fontId="3" numFmtId="0" xfId="0" applyBorder="1" applyFont="1"/>
    <xf borderId="29" fillId="0" fontId="4" numFmtId="0" xfId="0" applyAlignment="1" applyBorder="1" applyFont="1">
      <alignment readingOrder="0" shrinkToFit="0" wrapText="1"/>
    </xf>
    <xf borderId="0" fillId="0" fontId="3" numFmtId="0" xfId="0" applyAlignment="1" applyFont="1">
      <alignment shrinkToFit="0" wrapText="1"/>
    </xf>
    <xf borderId="30" fillId="2" fontId="2" numFmtId="0" xfId="0" applyAlignment="1" applyBorder="1" applyFont="1">
      <alignment horizontal="center" readingOrder="0" shrinkToFit="0" wrapText="1"/>
    </xf>
    <xf borderId="31" fillId="2" fontId="2" numFmtId="0" xfId="0" applyAlignment="1" applyBorder="1" applyFont="1">
      <alignment horizontal="center" readingOrder="0" shrinkToFit="0" wrapText="1"/>
    </xf>
    <xf borderId="31" fillId="2" fontId="3" numFmtId="0" xfId="0" applyAlignment="1" applyBorder="1" applyFont="1">
      <alignment shrinkToFit="0" wrapText="1"/>
    </xf>
    <xf borderId="32" fillId="2" fontId="2" numFmtId="0" xfId="0" applyAlignment="1" applyBorder="1" applyFont="1">
      <alignment horizontal="center" readingOrder="0" shrinkToFit="0" wrapText="1"/>
    </xf>
    <xf borderId="25" fillId="0" fontId="3" numFmtId="0" xfId="0" applyAlignment="1" applyBorder="1" applyFont="1">
      <alignment readingOrder="0"/>
    </xf>
    <xf borderId="0" fillId="0" fontId="3" numFmtId="0" xfId="0" applyAlignment="1" applyFont="1">
      <alignment readingOrder="0"/>
    </xf>
    <xf borderId="26" fillId="0" fontId="3" numFmtId="0" xfId="0" applyAlignment="1" applyBorder="1" applyFont="1">
      <alignment readingOrder="0" shrinkToFit="0" wrapText="1"/>
    </xf>
    <xf borderId="27" fillId="0" fontId="3" numFmtId="0" xfId="0" applyAlignment="1" applyBorder="1" applyFont="1">
      <alignment readingOrder="0"/>
    </xf>
    <xf borderId="28" fillId="0" fontId="3" numFmtId="0" xfId="0" applyAlignment="1" applyBorder="1" applyFont="1">
      <alignment readingOrder="0"/>
    </xf>
    <xf borderId="29" fillId="0" fontId="3" numFmtId="0" xfId="0" applyAlignment="1" applyBorder="1" applyFont="1">
      <alignment readingOrder="0" shrinkToFit="0" wrapText="1"/>
    </xf>
    <xf borderId="25" fillId="0" fontId="3" numFmtId="0" xfId="0" applyBorder="1" applyFont="1"/>
    <xf borderId="26" fillId="0" fontId="3" numFmtId="0" xfId="0" applyAlignment="1" applyBorder="1" applyFont="1">
      <alignment shrinkToFit="0" wrapText="1"/>
    </xf>
    <xf borderId="27" fillId="0" fontId="3" numFmtId="0" xfId="0" applyBorder="1" applyFont="1"/>
    <xf borderId="29" fillId="0" fontId="3" numFmtId="0" xfId="0" applyAlignment="1" applyBorder="1" applyFont="1">
      <alignment shrinkToFit="0" wrapText="1"/>
    </xf>
    <xf borderId="14" fillId="2" fontId="6" numFmtId="0" xfId="0" applyAlignment="1" applyBorder="1" applyFont="1">
      <alignment horizontal="center" vertical="bottom"/>
    </xf>
    <xf borderId="15" fillId="2" fontId="6" numFmtId="0" xfId="0" applyAlignment="1" applyBorder="1" applyFont="1">
      <alignment horizontal="center" vertical="bottom"/>
    </xf>
    <xf borderId="15" fillId="2" fontId="6" numFmtId="0" xfId="0" applyAlignment="1" applyBorder="1" applyFont="1">
      <alignment horizontal="center" vertical="bottom"/>
    </xf>
    <xf borderId="15" fillId="2" fontId="2" numFmtId="0" xfId="0" applyAlignment="1" applyBorder="1" applyFont="1">
      <alignment horizontal="center" readingOrder="0"/>
    </xf>
    <xf borderId="15" fillId="2" fontId="2" numFmtId="0" xfId="0" applyAlignment="1" applyBorder="1" applyFont="1">
      <alignment horizontal="center" readingOrder="0" shrinkToFit="0" wrapText="1"/>
    </xf>
    <xf borderId="17" fillId="0" fontId="7" numFmtId="0" xfId="0" applyAlignment="1" applyBorder="1" applyFont="1">
      <alignment vertical="bottom"/>
    </xf>
    <xf borderId="0" fillId="0" fontId="7" numFmtId="0" xfId="0" applyAlignment="1" applyFont="1">
      <alignment horizontal="right" vertical="bottom"/>
    </xf>
    <xf borderId="0" fillId="0" fontId="3" numFmtId="0" xfId="0" applyAlignment="1" applyFont="1">
      <alignment readingOrder="0" shrinkToFit="0" wrapText="1"/>
    </xf>
    <xf borderId="19" fillId="0" fontId="7" numFmtId="0" xfId="0" applyAlignment="1" applyBorder="1" applyFont="1">
      <alignment vertical="bottom"/>
    </xf>
    <xf borderId="20" fillId="0" fontId="7" numFmtId="0" xfId="0" applyAlignment="1" applyBorder="1" applyFont="1">
      <alignment horizontal="right" vertical="bottom"/>
    </xf>
    <xf borderId="20" fillId="0" fontId="3" numFmtId="0" xfId="0" applyBorder="1" applyFont="1"/>
    <xf borderId="20" fillId="0" fontId="3" numFmtId="0" xfId="0" applyAlignment="1" applyBorder="1" applyFont="1">
      <alignment readingOrder="0"/>
    </xf>
    <xf borderId="20" fillId="0" fontId="3" numFmtId="0" xfId="0" applyAlignment="1" applyBorder="1" applyFont="1">
      <alignment readingOrder="0" shrinkToFit="0" wrapText="1"/>
    </xf>
    <xf borderId="0" fillId="0" fontId="2" numFmtId="0" xfId="0" applyAlignment="1" applyFont="1">
      <alignment horizontal="center" readingOrder="0"/>
    </xf>
    <xf borderId="14" fillId="0" fontId="3" numFmtId="0" xfId="0" applyAlignment="1" applyBorder="1" applyFont="1">
      <alignment readingOrder="0"/>
    </xf>
    <xf borderId="15" fillId="0" fontId="3" numFmtId="0" xfId="0" applyAlignment="1" applyBorder="1" applyFont="1">
      <alignment readingOrder="0"/>
    </xf>
    <xf borderId="15" fillId="0" fontId="3" numFmtId="0" xfId="0" applyBorder="1" applyFont="1"/>
    <xf borderId="15" fillId="0" fontId="8" numFmtId="0" xfId="0" applyAlignment="1" applyBorder="1" applyFont="1">
      <alignment horizontal="center" readingOrder="0"/>
    </xf>
    <xf borderId="15" fillId="0" fontId="2" numFmtId="0" xfId="0" applyAlignment="1" applyBorder="1" applyFont="1">
      <alignment horizontal="center" readingOrder="0"/>
    </xf>
    <xf borderId="16" fillId="0" fontId="3" numFmtId="0" xfId="0" applyBorder="1" applyFont="1"/>
    <xf borderId="17" fillId="0" fontId="3" numFmtId="0" xfId="0" applyAlignment="1" applyBorder="1" applyFont="1">
      <alignment readingOrder="0"/>
    </xf>
    <xf borderId="18" fillId="0" fontId="3" numFmtId="0" xfId="0" applyBorder="1" applyFont="1"/>
    <xf borderId="17" fillId="0" fontId="2" numFmtId="0" xfId="0" applyAlignment="1" applyBorder="1" applyFont="1">
      <alignment horizontal="center" readingOrder="0"/>
    </xf>
    <xf borderId="14" fillId="2" fontId="2" numFmtId="0" xfId="0" applyAlignment="1" applyBorder="1" applyFont="1">
      <alignment horizontal="center" readingOrder="0"/>
    </xf>
    <xf borderId="0" fillId="0" fontId="2" numFmtId="0" xfId="0" applyAlignment="1" applyFont="1">
      <alignment horizontal="center"/>
    </xf>
    <xf borderId="14" fillId="4" fontId="9" numFmtId="0" xfId="0" applyAlignment="1" applyBorder="1" applyFill="1" applyFont="1">
      <alignment horizontal="center" readingOrder="0"/>
    </xf>
    <xf borderId="14" fillId="5" fontId="2" numFmtId="0" xfId="0" applyAlignment="1" applyBorder="1" applyFill="1" applyFont="1">
      <alignment horizontal="center" readingOrder="0"/>
    </xf>
    <xf borderId="14" fillId="6" fontId="2" numFmtId="0" xfId="0" applyAlignment="1" applyBorder="1" applyFill="1" applyFont="1">
      <alignment horizontal="center" readingOrder="0"/>
    </xf>
    <xf borderId="14" fillId="7" fontId="9" numFmtId="0" xfId="0" applyAlignment="1" applyBorder="1" applyFill="1" applyFont="1">
      <alignment horizontal="center" readingOrder="0"/>
    </xf>
    <xf borderId="18" fillId="0" fontId="2" numFmtId="0" xfId="0" applyAlignment="1" applyBorder="1" applyFont="1">
      <alignment horizontal="center"/>
    </xf>
    <xf borderId="17" fillId="0" fontId="2" numFmtId="0" xfId="0" applyAlignment="1" applyBorder="1" applyFont="1">
      <alignment readingOrder="0"/>
    </xf>
    <xf borderId="18" fillId="0" fontId="2" numFmtId="0" xfId="0" applyAlignment="1" applyBorder="1" applyFont="1">
      <alignment readingOrder="0"/>
    </xf>
    <xf borderId="0" fillId="0" fontId="2" numFmtId="0" xfId="0" applyFont="1"/>
    <xf borderId="18" fillId="0" fontId="2" numFmtId="0" xfId="0" applyAlignment="1" applyBorder="1" applyFont="1">
      <alignment horizontal="center" readingOrder="0"/>
    </xf>
    <xf borderId="18" fillId="0" fontId="2" numFmtId="0" xfId="0" applyBorder="1" applyFont="1"/>
    <xf borderId="18" fillId="0" fontId="3" numFmtId="0" xfId="0" applyAlignment="1" applyBorder="1" applyFont="1">
      <alignment readingOrder="0"/>
    </xf>
    <xf borderId="18" fillId="8" fontId="3" numFmtId="0" xfId="0" applyAlignment="1" applyBorder="1" applyFill="1" applyFont="1">
      <alignment readingOrder="0"/>
    </xf>
    <xf borderId="19" fillId="0" fontId="3" numFmtId="0" xfId="0" applyAlignment="1" applyBorder="1" applyFont="1">
      <alignment readingOrder="0"/>
    </xf>
    <xf borderId="21" fillId="0" fontId="3" numFmtId="0" xfId="0" applyBorder="1" applyFont="1"/>
    <xf borderId="21" fillId="0" fontId="3" numFmtId="0" xfId="0" applyAlignment="1" applyBorder="1" applyFont="1">
      <alignment readingOrder="0"/>
    </xf>
    <xf borderId="17" fillId="0" fontId="3" numFmtId="0" xfId="0" applyBorder="1" applyFont="1"/>
    <xf borderId="19"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F1 Score Variance, AUC Variance, Accuracy Variance and Variance</a:t>
            </a:r>
          </a:p>
        </c:rich>
      </c:tx>
      <c:overlay val="0"/>
    </c:title>
    <c:plotArea>
      <c:layout/>
      <c:areaChart>
        <c:grouping val="stacked"/>
        <c:ser>
          <c:idx val="0"/>
          <c:order val="0"/>
          <c:tx>
            <c:strRef>
              <c:f>Diabetes!$B$1</c:f>
            </c:strRef>
          </c:tx>
          <c:spPr>
            <a:solidFill>
              <a:srgbClr val="4285F4">
                <a:alpha val="30000"/>
              </a:srgbClr>
            </a:solidFill>
            <a:ln cmpd="sng">
              <a:solidFill>
                <a:srgbClr val="4285F4"/>
              </a:solidFill>
            </a:ln>
          </c:spPr>
          <c:cat>
            <c:strRef>
              <c:f>Diabetes!$A$2:$A$5</c:f>
            </c:strRef>
          </c:cat>
          <c:val>
            <c:numRef>
              <c:f>Diabetes!$B$2:$B$5</c:f>
              <c:numCache/>
            </c:numRef>
          </c:val>
        </c:ser>
        <c:ser>
          <c:idx val="1"/>
          <c:order val="1"/>
          <c:tx>
            <c:strRef>
              <c:f>Diabetes!$C$1</c:f>
            </c:strRef>
          </c:tx>
          <c:spPr>
            <a:solidFill>
              <a:srgbClr val="EA4335">
                <a:alpha val="30000"/>
              </a:srgbClr>
            </a:solidFill>
            <a:ln cmpd="sng">
              <a:solidFill>
                <a:srgbClr val="EA4335"/>
              </a:solidFill>
            </a:ln>
          </c:spPr>
          <c:cat>
            <c:strRef>
              <c:f>Diabetes!$A$2:$A$5</c:f>
            </c:strRef>
          </c:cat>
          <c:val>
            <c:numRef>
              <c:f>Diabetes!$C$2:$C$5</c:f>
              <c:numCache/>
            </c:numRef>
          </c:val>
        </c:ser>
        <c:ser>
          <c:idx val="2"/>
          <c:order val="2"/>
          <c:tx>
            <c:strRef>
              <c:f>Diabetes!$D$1</c:f>
            </c:strRef>
          </c:tx>
          <c:spPr>
            <a:solidFill>
              <a:srgbClr val="FBBC04">
                <a:alpha val="30000"/>
              </a:srgbClr>
            </a:solidFill>
            <a:ln cmpd="sng">
              <a:solidFill>
                <a:srgbClr val="FBBC04"/>
              </a:solidFill>
            </a:ln>
          </c:spPr>
          <c:cat>
            <c:strRef>
              <c:f>Diabetes!$A$2:$A$5</c:f>
            </c:strRef>
          </c:cat>
          <c:val>
            <c:numRef>
              <c:f>Diabetes!$D$2:$D$5</c:f>
              <c:numCache/>
            </c:numRef>
          </c:val>
        </c:ser>
        <c:ser>
          <c:idx val="3"/>
          <c:order val="3"/>
          <c:tx>
            <c:strRef>
              <c:f>Diabetes!$E$1</c:f>
            </c:strRef>
          </c:tx>
          <c:spPr>
            <a:solidFill>
              <a:srgbClr val="34A853">
                <a:alpha val="30000"/>
              </a:srgbClr>
            </a:solidFill>
            <a:ln cmpd="sng">
              <a:solidFill>
                <a:srgbClr val="34A853"/>
              </a:solidFill>
            </a:ln>
          </c:spPr>
          <c:cat>
            <c:strRef>
              <c:f>Diabetes!$A$2:$A$5</c:f>
            </c:strRef>
          </c:cat>
          <c:val>
            <c:numRef>
              <c:f>Diabetes!$E$2:$E$5</c:f>
              <c:numCache/>
            </c:numRef>
          </c:val>
        </c:ser>
        <c:axId val="780750051"/>
        <c:axId val="1633943609"/>
      </c:areaChart>
      <c:catAx>
        <c:axId val="7807500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c:txPr>
          <a:bodyPr/>
          <a:lstStyle/>
          <a:p>
            <a:pPr lvl="0">
              <a:defRPr b="0">
                <a:solidFill>
                  <a:srgbClr val="000000"/>
                </a:solidFill>
                <a:latin typeface="+mn-lt"/>
              </a:defRPr>
            </a:pPr>
          </a:p>
        </c:txPr>
        <c:crossAx val="1633943609"/>
      </c:catAx>
      <c:valAx>
        <c:axId val="16339436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075005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Variance vs. Model</a:t>
            </a:r>
          </a:p>
        </c:rich>
      </c:tx>
      <c:overlay val="0"/>
    </c:title>
    <c:plotArea>
      <c:layout/>
      <c:lineChart>
        <c:varyColors val="0"/>
        <c:ser>
          <c:idx val="0"/>
          <c:order val="0"/>
          <c:tx>
            <c:strRef>
              <c:f>Diabetes!$I$1</c:f>
            </c:strRef>
          </c:tx>
          <c:spPr>
            <a:ln cmpd="sng">
              <a:solidFill>
                <a:srgbClr val="4285F4"/>
              </a:solidFill>
            </a:ln>
          </c:spPr>
          <c:marker>
            <c:symbol val="none"/>
          </c:marker>
          <c:cat>
            <c:strRef>
              <c:f>Diabetes!$H$2:$H$5</c:f>
            </c:strRef>
          </c:cat>
          <c:val>
            <c:numRef>
              <c:f>Diabetes!$I$2:$I$5</c:f>
              <c:numCache/>
            </c:numRef>
          </c:val>
          <c:smooth val="0"/>
        </c:ser>
        <c:axId val="1557763740"/>
        <c:axId val="384567683"/>
      </c:lineChart>
      <c:catAx>
        <c:axId val="15577637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c:txPr>
          <a:bodyPr/>
          <a:lstStyle/>
          <a:p>
            <a:pPr lvl="0">
              <a:defRPr b="0">
                <a:solidFill>
                  <a:srgbClr val="000000"/>
                </a:solidFill>
                <a:latin typeface="+mn-lt"/>
              </a:defRPr>
            </a:pPr>
          </a:p>
        </c:txPr>
        <c:crossAx val="384567683"/>
      </c:catAx>
      <c:valAx>
        <c:axId val="3845676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Variance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776374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F1 Score Variance, AUC Variance, Accuracy Variance and Variance</a:t>
            </a:r>
          </a:p>
        </c:rich>
      </c:tx>
      <c:overlay val="0"/>
    </c:title>
    <c:plotArea>
      <c:layout/>
      <c:areaChart>
        <c:ser>
          <c:idx val="0"/>
          <c:order val="0"/>
          <c:tx>
            <c:strRef>
              <c:f>Mushroom!$B$1</c:f>
            </c:strRef>
          </c:tx>
          <c:spPr>
            <a:solidFill>
              <a:srgbClr val="4285F4">
                <a:alpha val="30000"/>
              </a:srgbClr>
            </a:solidFill>
            <a:ln cmpd="sng">
              <a:solidFill>
                <a:srgbClr val="4285F4"/>
              </a:solidFill>
            </a:ln>
          </c:spPr>
          <c:cat>
            <c:strRef>
              <c:f>Mushroom!$A$2:$A$5</c:f>
            </c:strRef>
          </c:cat>
          <c:val>
            <c:numRef>
              <c:f>Mushroom!$B$2:$B$5</c:f>
              <c:numCache/>
            </c:numRef>
          </c:val>
        </c:ser>
        <c:ser>
          <c:idx val="1"/>
          <c:order val="1"/>
          <c:tx>
            <c:strRef>
              <c:f>Mushroom!$C$1</c:f>
            </c:strRef>
          </c:tx>
          <c:spPr>
            <a:solidFill>
              <a:srgbClr val="EA4335">
                <a:alpha val="30000"/>
              </a:srgbClr>
            </a:solidFill>
            <a:ln cmpd="sng">
              <a:solidFill>
                <a:srgbClr val="EA4335"/>
              </a:solidFill>
            </a:ln>
          </c:spPr>
          <c:cat>
            <c:strRef>
              <c:f>Mushroom!$A$2:$A$5</c:f>
            </c:strRef>
          </c:cat>
          <c:val>
            <c:numRef>
              <c:f>Mushroom!$C$2:$C$5</c:f>
              <c:numCache/>
            </c:numRef>
          </c:val>
        </c:ser>
        <c:ser>
          <c:idx val="2"/>
          <c:order val="2"/>
          <c:tx>
            <c:strRef>
              <c:f>Mushroom!$D$1</c:f>
            </c:strRef>
          </c:tx>
          <c:spPr>
            <a:solidFill>
              <a:srgbClr val="FBBC04">
                <a:alpha val="30000"/>
              </a:srgbClr>
            </a:solidFill>
            <a:ln cmpd="sng">
              <a:solidFill>
                <a:srgbClr val="FBBC04"/>
              </a:solidFill>
            </a:ln>
          </c:spPr>
          <c:cat>
            <c:strRef>
              <c:f>Mushroom!$A$2:$A$5</c:f>
            </c:strRef>
          </c:cat>
          <c:val>
            <c:numRef>
              <c:f>Mushroom!$D$2:$D$5</c:f>
              <c:numCache/>
            </c:numRef>
          </c:val>
        </c:ser>
        <c:ser>
          <c:idx val="3"/>
          <c:order val="3"/>
          <c:tx>
            <c:strRef>
              <c:f>Mushroom!$E$1</c:f>
            </c:strRef>
          </c:tx>
          <c:spPr>
            <a:solidFill>
              <a:srgbClr val="34A853">
                <a:alpha val="30000"/>
              </a:srgbClr>
            </a:solidFill>
            <a:ln cmpd="sng">
              <a:solidFill>
                <a:srgbClr val="34A853"/>
              </a:solidFill>
            </a:ln>
          </c:spPr>
          <c:cat>
            <c:strRef>
              <c:f>Mushroom!$A$2:$A$5</c:f>
            </c:strRef>
          </c:cat>
          <c:val>
            <c:numRef>
              <c:f>Mushroom!$E$2:$E$5</c:f>
              <c:numCache/>
            </c:numRef>
          </c:val>
        </c:ser>
        <c:axId val="1085916810"/>
        <c:axId val="1983264045"/>
      </c:areaChart>
      <c:catAx>
        <c:axId val="10859168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c:txPr>
          <a:bodyPr/>
          <a:lstStyle/>
          <a:p>
            <a:pPr lvl="0">
              <a:defRPr b="0">
                <a:solidFill>
                  <a:srgbClr val="000000"/>
                </a:solidFill>
                <a:latin typeface="+mn-lt"/>
              </a:defRPr>
            </a:pPr>
          </a:p>
        </c:txPr>
        <c:crossAx val="1983264045"/>
      </c:catAx>
      <c:valAx>
        <c:axId val="19832640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591681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Overall Variance vs. Model</a:t>
            </a:r>
          </a:p>
        </c:rich>
      </c:tx>
      <c:overlay val="0"/>
    </c:title>
    <c:plotArea>
      <c:layout/>
      <c:areaChart>
        <c:ser>
          <c:idx val="0"/>
          <c:order val="0"/>
          <c:spPr>
            <a:solidFill>
              <a:srgbClr val="4285F4">
                <a:alpha val="30000"/>
              </a:srgbClr>
            </a:solidFill>
            <a:ln cmpd="sng">
              <a:solidFill>
                <a:srgbClr val="4285F4"/>
              </a:solidFill>
            </a:ln>
          </c:spPr>
          <c:cat>
            <c:strRef>
              <c:f>Mushroom!$H$2:$H$5</c:f>
            </c:strRef>
          </c:cat>
          <c:val>
            <c:numRef>
              <c:f>Mushroom!$I$2:$I$5</c:f>
              <c:numCache/>
            </c:numRef>
          </c:val>
        </c:ser>
        <c:axId val="125733887"/>
        <c:axId val="1684474824"/>
      </c:areaChart>
      <c:catAx>
        <c:axId val="1257338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c:txPr>
          <a:bodyPr/>
          <a:lstStyle/>
          <a:p>
            <a:pPr lvl="0">
              <a:defRPr b="0">
                <a:solidFill>
                  <a:srgbClr val="000000"/>
                </a:solidFill>
                <a:latin typeface="+mn-lt"/>
              </a:defRPr>
            </a:pPr>
          </a:p>
        </c:txPr>
        <c:crossAx val="1684474824"/>
      </c:catAx>
      <c:valAx>
        <c:axId val="1684474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Overall Variance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73388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Variance vs. Model</a:t>
            </a:r>
          </a:p>
        </c:rich>
      </c:tx>
      <c:overlay val="0"/>
    </c:title>
    <c:plotArea>
      <c:layout/>
      <c:areaChart>
        <c:ser>
          <c:idx val="0"/>
          <c:order val="0"/>
          <c:tx>
            <c:strRef>
              <c:f>'Student Dropout'!$H$1</c:f>
            </c:strRef>
          </c:tx>
          <c:spPr>
            <a:solidFill>
              <a:srgbClr val="4285F4">
                <a:alpha val="30000"/>
              </a:srgbClr>
            </a:solidFill>
            <a:ln cmpd="sng">
              <a:solidFill>
                <a:srgbClr val="4285F4"/>
              </a:solidFill>
            </a:ln>
          </c:spPr>
          <c:cat>
            <c:strRef>
              <c:f>'Student Dropout'!$G$2:$G$5</c:f>
            </c:strRef>
          </c:cat>
          <c:val>
            <c:numRef>
              <c:f>'Student Dropout'!$H$2:$H$5</c:f>
              <c:numCache/>
            </c:numRef>
          </c:val>
        </c:ser>
        <c:axId val="762881702"/>
        <c:axId val="1963120952"/>
      </c:areaChart>
      <c:catAx>
        <c:axId val="7628817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c:txPr>
          <a:bodyPr/>
          <a:lstStyle/>
          <a:p>
            <a:pPr lvl="0">
              <a:defRPr b="0">
                <a:solidFill>
                  <a:srgbClr val="000000"/>
                </a:solidFill>
                <a:latin typeface="+mn-lt"/>
              </a:defRPr>
            </a:pPr>
          </a:p>
        </c:txPr>
        <c:crossAx val="1963120952"/>
      </c:catAx>
      <c:valAx>
        <c:axId val="19631209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Variance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288170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F1 Score Variance, AUC Variance, Accuracy Variance and Overall Variance</a:t>
            </a:r>
          </a:p>
        </c:rich>
      </c:tx>
      <c:overlay val="0"/>
    </c:title>
    <c:plotArea>
      <c:layout/>
      <c:areaChart>
        <c:ser>
          <c:idx val="0"/>
          <c:order val="0"/>
          <c:tx>
            <c:strRef>
              <c:f>'Student Dropout'!$B$1</c:f>
            </c:strRef>
          </c:tx>
          <c:spPr>
            <a:solidFill>
              <a:srgbClr val="4285F4">
                <a:alpha val="30000"/>
              </a:srgbClr>
            </a:solidFill>
            <a:ln cmpd="sng">
              <a:solidFill>
                <a:srgbClr val="4285F4"/>
              </a:solidFill>
            </a:ln>
          </c:spPr>
          <c:cat>
            <c:strRef>
              <c:f>'Student Dropout'!$A$2:$A$5</c:f>
            </c:strRef>
          </c:cat>
          <c:val>
            <c:numRef>
              <c:f>'Student Dropout'!$B$2:$B$5</c:f>
              <c:numCache/>
            </c:numRef>
          </c:val>
        </c:ser>
        <c:ser>
          <c:idx val="1"/>
          <c:order val="1"/>
          <c:tx>
            <c:strRef>
              <c:f>'Student Dropout'!$C$1</c:f>
            </c:strRef>
          </c:tx>
          <c:spPr>
            <a:solidFill>
              <a:srgbClr val="EA4335">
                <a:alpha val="30000"/>
              </a:srgbClr>
            </a:solidFill>
            <a:ln cmpd="sng">
              <a:solidFill>
                <a:srgbClr val="EA4335"/>
              </a:solidFill>
            </a:ln>
          </c:spPr>
          <c:cat>
            <c:strRef>
              <c:f>'Student Dropout'!$A$2:$A$5</c:f>
            </c:strRef>
          </c:cat>
          <c:val>
            <c:numRef>
              <c:f>'Student Dropout'!$C$2:$C$5</c:f>
              <c:numCache/>
            </c:numRef>
          </c:val>
        </c:ser>
        <c:ser>
          <c:idx val="2"/>
          <c:order val="2"/>
          <c:tx>
            <c:strRef>
              <c:f>'Student Dropout'!$D$1</c:f>
            </c:strRef>
          </c:tx>
          <c:spPr>
            <a:solidFill>
              <a:srgbClr val="FBBC04">
                <a:alpha val="30000"/>
              </a:srgbClr>
            </a:solidFill>
            <a:ln cmpd="sng">
              <a:solidFill>
                <a:srgbClr val="FBBC04"/>
              </a:solidFill>
            </a:ln>
          </c:spPr>
          <c:cat>
            <c:strRef>
              <c:f>'Student Dropout'!$A$2:$A$5</c:f>
            </c:strRef>
          </c:cat>
          <c:val>
            <c:numRef>
              <c:f>'Student Dropout'!$D$2:$D$5</c:f>
              <c:numCache/>
            </c:numRef>
          </c:val>
        </c:ser>
        <c:ser>
          <c:idx val="3"/>
          <c:order val="3"/>
          <c:tx>
            <c:strRef>
              <c:f>'Student Dropout'!$E$1</c:f>
            </c:strRef>
          </c:tx>
          <c:spPr>
            <a:solidFill>
              <a:srgbClr val="34A853">
                <a:alpha val="30000"/>
              </a:srgbClr>
            </a:solidFill>
            <a:ln cmpd="sng">
              <a:solidFill>
                <a:srgbClr val="34A853"/>
              </a:solidFill>
            </a:ln>
          </c:spPr>
          <c:cat>
            <c:strRef>
              <c:f>'Student Dropout'!$A$2:$A$5</c:f>
            </c:strRef>
          </c:cat>
          <c:val>
            <c:numRef>
              <c:f>'Student Dropout'!$E$2:$E$5</c:f>
              <c:numCache/>
            </c:numRef>
          </c:val>
        </c:ser>
        <c:axId val="3369769"/>
        <c:axId val="2054755827"/>
      </c:areaChart>
      <c:catAx>
        <c:axId val="33697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c:txPr>
          <a:bodyPr/>
          <a:lstStyle/>
          <a:p>
            <a:pPr lvl="0">
              <a:defRPr b="0">
                <a:solidFill>
                  <a:srgbClr val="000000"/>
                </a:solidFill>
                <a:latin typeface="+mn-lt"/>
              </a:defRPr>
            </a:pPr>
          </a:p>
        </c:txPr>
        <c:crossAx val="2054755827"/>
      </c:catAx>
      <c:valAx>
        <c:axId val="20547558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6976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Overall Variance vs. Model</a:t>
            </a:r>
          </a:p>
        </c:rich>
      </c:tx>
      <c:overlay val="0"/>
    </c:title>
    <c:plotArea>
      <c:layout/>
      <c:areaChart>
        <c:ser>
          <c:idx val="0"/>
          <c:order val="0"/>
          <c:tx>
            <c:strRef>
              <c:f>Abalone!$J$1</c:f>
            </c:strRef>
          </c:tx>
          <c:spPr>
            <a:solidFill>
              <a:srgbClr val="4285F4">
                <a:alpha val="30000"/>
              </a:srgbClr>
            </a:solidFill>
            <a:ln cmpd="sng">
              <a:solidFill>
                <a:srgbClr val="4285F4"/>
              </a:solidFill>
            </a:ln>
          </c:spPr>
          <c:cat>
            <c:strRef>
              <c:f>Abalone!$I$2:$I$5</c:f>
            </c:strRef>
          </c:cat>
          <c:val>
            <c:numRef>
              <c:f>Abalone!$J$2:$J$5</c:f>
              <c:numCache/>
            </c:numRef>
          </c:val>
        </c:ser>
        <c:axId val="301545396"/>
        <c:axId val="85489392"/>
      </c:areaChart>
      <c:catAx>
        <c:axId val="3015453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c:txPr>
          <a:bodyPr/>
          <a:lstStyle/>
          <a:p>
            <a:pPr lvl="0">
              <a:defRPr b="0">
                <a:solidFill>
                  <a:srgbClr val="000000"/>
                </a:solidFill>
                <a:latin typeface="+mn-lt"/>
              </a:defRPr>
            </a:pPr>
          </a:p>
        </c:txPr>
        <c:crossAx val="85489392"/>
      </c:catAx>
      <c:valAx>
        <c:axId val="85489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Overall Variance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1545396"/>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F1 Score Variance, AUC Variance, Accuracy Variance and Variance</a:t>
            </a:r>
          </a:p>
        </c:rich>
      </c:tx>
      <c:overlay val="0"/>
    </c:title>
    <c:plotArea>
      <c:layout/>
      <c:areaChart>
        <c:grouping val="stacked"/>
        <c:ser>
          <c:idx val="0"/>
          <c:order val="0"/>
          <c:tx>
            <c:strRef>
              <c:f>Abalone!$B$1</c:f>
            </c:strRef>
          </c:tx>
          <c:spPr>
            <a:solidFill>
              <a:srgbClr val="4285F4">
                <a:alpha val="30000"/>
              </a:srgbClr>
            </a:solidFill>
            <a:ln cmpd="sng">
              <a:solidFill>
                <a:srgbClr val="4285F4"/>
              </a:solidFill>
            </a:ln>
          </c:spPr>
          <c:cat>
            <c:strRef>
              <c:f>Abalone!$A$2:$A$5</c:f>
            </c:strRef>
          </c:cat>
          <c:val>
            <c:numRef>
              <c:f>Abalone!$B$2:$B$5</c:f>
              <c:numCache/>
            </c:numRef>
          </c:val>
        </c:ser>
        <c:ser>
          <c:idx val="1"/>
          <c:order val="1"/>
          <c:tx>
            <c:strRef>
              <c:f>Abalone!$C$1</c:f>
            </c:strRef>
          </c:tx>
          <c:spPr>
            <a:solidFill>
              <a:srgbClr val="EA4335">
                <a:alpha val="30000"/>
              </a:srgbClr>
            </a:solidFill>
            <a:ln cmpd="sng">
              <a:solidFill>
                <a:srgbClr val="EA4335"/>
              </a:solidFill>
            </a:ln>
          </c:spPr>
          <c:cat>
            <c:strRef>
              <c:f>Abalone!$A$2:$A$5</c:f>
            </c:strRef>
          </c:cat>
          <c:val>
            <c:numRef>
              <c:f>Abalone!$C$2:$C$5</c:f>
              <c:numCache/>
            </c:numRef>
          </c:val>
        </c:ser>
        <c:ser>
          <c:idx val="2"/>
          <c:order val="2"/>
          <c:tx>
            <c:strRef>
              <c:f>Abalone!$D$1</c:f>
            </c:strRef>
          </c:tx>
          <c:spPr>
            <a:solidFill>
              <a:srgbClr val="FBBC04">
                <a:alpha val="30000"/>
              </a:srgbClr>
            </a:solidFill>
            <a:ln cmpd="sng">
              <a:solidFill>
                <a:srgbClr val="FBBC04"/>
              </a:solidFill>
            </a:ln>
          </c:spPr>
          <c:cat>
            <c:strRef>
              <c:f>Abalone!$A$2:$A$5</c:f>
            </c:strRef>
          </c:cat>
          <c:val>
            <c:numRef>
              <c:f>Abalone!$D$2:$D$5</c:f>
              <c:numCache/>
            </c:numRef>
          </c:val>
        </c:ser>
        <c:ser>
          <c:idx val="3"/>
          <c:order val="3"/>
          <c:tx>
            <c:strRef>
              <c:f>Abalone!$E$1</c:f>
            </c:strRef>
          </c:tx>
          <c:spPr>
            <a:solidFill>
              <a:srgbClr val="34A853">
                <a:alpha val="30000"/>
              </a:srgbClr>
            </a:solidFill>
            <a:ln cmpd="sng">
              <a:solidFill>
                <a:srgbClr val="34A853"/>
              </a:solidFill>
            </a:ln>
          </c:spPr>
          <c:cat>
            <c:strRef>
              <c:f>Abalone!$A$2:$A$5</c:f>
            </c:strRef>
          </c:cat>
          <c:val>
            <c:numRef>
              <c:f>Abalone!$E$2:$E$5</c:f>
              <c:numCache/>
            </c:numRef>
          </c:val>
        </c:ser>
        <c:axId val="317208582"/>
        <c:axId val="220147584"/>
      </c:areaChart>
      <c:catAx>
        <c:axId val="3172085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c:txPr>
          <a:bodyPr/>
          <a:lstStyle/>
          <a:p>
            <a:pPr lvl="0">
              <a:defRPr b="0">
                <a:solidFill>
                  <a:srgbClr val="000000"/>
                </a:solidFill>
                <a:latin typeface="+mn-lt"/>
              </a:defRPr>
            </a:pPr>
          </a:p>
        </c:txPr>
        <c:crossAx val="220147584"/>
      </c:catAx>
      <c:valAx>
        <c:axId val="2201475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7208582"/>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F1 Score Variance, AUC Variance, Accuracy Variance and Variance</a:t>
            </a:r>
          </a:p>
        </c:rich>
      </c:tx>
      <c:layout>
        <c:manualLayout>
          <c:xMode val="edge"/>
          <c:yMode val="edge"/>
          <c:x val="0.01925"/>
          <c:y val="0.04730458221024259"/>
        </c:manualLayout>
      </c:layout>
      <c:overlay val="0"/>
    </c:title>
    <c:plotArea>
      <c:layout/>
      <c:areaChart>
        <c:grouping val="stacked"/>
        <c:ser>
          <c:idx val="0"/>
          <c:order val="0"/>
          <c:tx>
            <c:strRef>
              <c:f>'Credit Card'!$B$1</c:f>
            </c:strRef>
          </c:tx>
          <c:spPr>
            <a:solidFill>
              <a:srgbClr val="4285F4">
                <a:alpha val="30000"/>
              </a:srgbClr>
            </a:solidFill>
            <a:ln cmpd="sng">
              <a:solidFill>
                <a:srgbClr val="4285F4"/>
              </a:solidFill>
            </a:ln>
          </c:spPr>
          <c:cat>
            <c:strRef>
              <c:f>'Credit Card'!$A$2:$A$3</c:f>
            </c:strRef>
          </c:cat>
          <c:val>
            <c:numRef>
              <c:f>'Credit Card'!$B$2:$B$3</c:f>
              <c:numCache/>
            </c:numRef>
          </c:val>
        </c:ser>
        <c:ser>
          <c:idx val="1"/>
          <c:order val="1"/>
          <c:tx>
            <c:strRef>
              <c:f>'Credit Card'!$C$1</c:f>
            </c:strRef>
          </c:tx>
          <c:spPr>
            <a:solidFill>
              <a:srgbClr val="EA4335">
                <a:alpha val="30000"/>
              </a:srgbClr>
            </a:solidFill>
            <a:ln cmpd="sng">
              <a:solidFill>
                <a:srgbClr val="EA4335"/>
              </a:solidFill>
            </a:ln>
          </c:spPr>
          <c:cat>
            <c:strRef>
              <c:f>'Credit Card'!$A$2:$A$3</c:f>
            </c:strRef>
          </c:cat>
          <c:val>
            <c:numRef>
              <c:f>'Credit Card'!$C$2:$C$3</c:f>
              <c:numCache/>
            </c:numRef>
          </c:val>
        </c:ser>
        <c:ser>
          <c:idx val="2"/>
          <c:order val="2"/>
          <c:tx>
            <c:strRef>
              <c:f>'Credit Card'!$D$1</c:f>
            </c:strRef>
          </c:tx>
          <c:spPr>
            <a:solidFill>
              <a:srgbClr val="FBBC04">
                <a:alpha val="30000"/>
              </a:srgbClr>
            </a:solidFill>
            <a:ln cmpd="sng">
              <a:solidFill>
                <a:srgbClr val="FBBC04"/>
              </a:solidFill>
            </a:ln>
          </c:spPr>
          <c:cat>
            <c:strRef>
              <c:f>'Credit Card'!$A$2:$A$3</c:f>
            </c:strRef>
          </c:cat>
          <c:val>
            <c:numRef>
              <c:f>'Credit Card'!$D$2:$D$3</c:f>
              <c:numCache/>
            </c:numRef>
          </c:val>
        </c:ser>
        <c:ser>
          <c:idx val="3"/>
          <c:order val="3"/>
          <c:tx>
            <c:strRef>
              <c:f>'Credit Card'!$E$1</c:f>
            </c:strRef>
          </c:tx>
          <c:spPr>
            <a:solidFill>
              <a:srgbClr val="34A853">
                <a:alpha val="30000"/>
              </a:srgbClr>
            </a:solidFill>
            <a:ln cmpd="sng">
              <a:solidFill>
                <a:srgbClr val="34A853"/>
              </a:solidFill>
            </a:ln>
          </c:spPr>
          <c:cat>
            <c:strRef>
              <c:f>'Credit Card'!$A$2:$A$3</c:f>
            </c:strRef>
          </c:cat>
          <c:val>
            <c:numRef>
              <c:f>'Credit Card'!$E$2:$E$3</c:f>
              <c:numCache/>
            </c:numRef>
          </c:val>
        </c:ser>
        <c:axId val="368015500"/>
        <c:axId val="753215651"/>
      </c:areaChart>
      <c:catAx>
        <c:axId val="3680155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c:txPr>
          <a:bodyPr/>
          <a:lstStyle/>
          <a:p>
            <a:pPr lvl="0">
              <a:defRPr b="0">
                <a:solidFill>
                  <a:srgbClr val="000000"/>
                </a:solidFill>
                <a:latin typeface="+mn-lt"/>
              </a:defRPr>
            </a:pPr>
          </a:p>
        </c:txPr>
        <c:crossAx val="753215651"/>
      </c:catAx>
      <c:valAx>
        <c:axId val="7532156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8015500"/>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Variance vs. Model</a:t>
            </a:r>
          </a:p>
        </c:rich>
      </c:tx>
      <c:overlay val="0"/>
    </c:title>
    <c:plotArea>
      <c:layout/>
      <c:areaChart>
        <c:ser>
          <c:idx val="0"/>
          <c:order val="0"/>
          <c:tx>
            <c:strRef>
              <c:f>'Credit Card'!$H$1</c:f>
            </c:strRef>
          </c:tx>
          <c:spPr>
            <a:solidFill>
              <a:srgbClr val="4285F4">
                <a:alpha val="30000"/>
              </a:srgbClr>
            </a:solidFill>
            <a:ln cmpd="sng">
              <a:solidFill>
                <a:srgbClr val="4285F4"/>
              </a:solidFill>
            </a:ln>
          </c:spPr>
          <c:cat>
            <c:strRef>
              <c:f>'Credit Card'!$G$2:$G$5</c:f>
            </c:strRef>
          </c:cat>
          <c:val>
            <c:numRef>
              <c:f>'Credit Card'!$H$2:$H$5</c:f>
              <c:numCache/>
            </c:numRef>
          </c:val>
        </c:ser>
        <c:axId val="984023513"/>
        <c:axId val="1117172284"/>
      </c:areaChart>
      <c:catAx>
        <c:axId val="9840235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c:txPr>
          <a:bodyPr/>
          <a:lstStyle/>
          <a:p>
            <a:pPr lvl="0">
              <a:defRPr b="0">
                <a:solidFill>
                  <a:srgbClr val="000000"/>
                </a:solidFill>
                <a:latin typeface="+mn-lt"/>
              </a:defRPr>
            </a:pPr>
          </a:p>
        </c:txPr>
        <c:crossAx val="1117172284"/>
      </c:catAx>
      <c:valAx>
        <c:axId val="11171722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Variance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402351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857250</xdr:colOff>
      <xdr:row>7</xdr:row>
      <xdr:rowOff>19050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209550</xdr:colOff>
      <xdr:row>7</xdr:row>
      <xdr:rowOff>19050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447675</xdr:colOff>
      <xdr:row>6</xdr:row>
      <xdr:rowOff>171450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952500</xdr:colOff>
      <xdr:row>6</xdr:row>
      <xdr:rowOff>171450</xdr:rowOff>
    </xdr:from>
    <xdr:ext cx="520065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161925</xdr:colOff>
      <xdr:row>6</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5</xdr:row>
      <xdr:rowOff>142875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781050</xdr:colOff>
      <xdr:row>7</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28575</xdr:colOff>
      <xdr:row>7</xdr:row>
      <xdr:rowOff>9525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10</xdr:row>
      <xdr:rowOff>190500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123825</xdr:colOff>
      <xdr:row>10</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4" max="4" width="16.13"/>
    <col customWidth="1" min="5" max="5" width="14.5"/>
    <col customWidth="1" min="8" max="8" width="16.5"/>
    <col customWidth="1" min="12" max="12" width="59.88"/>
  </cols>
  <sheetData>
    <row r="1">
      <c r="A1" s="1" t="s">
        <v>0</v>
      </c>
      <c r="B1" s="2" t="s">
        <v>1</v>
      </c>
      <c r="C1" s="2" t="s">
        <v>2</v>
      </c>
      <c r="D1" s="2" t="s">
        <v>3</v>
      </c>
      <c r="E1" s="3" t="s">
        <v>4</v>
      </c>
      <c r="F1" s="4"/>
      <c r="G1" s="4"/>
      <c r="H1" s="1" t="s">
        <v>0</v>
      </c>
      <c r="I1" s="5" t="s">
        <v>4</v>
      </c>
      <c r="J1" s="2" t="s">
        <v>4</v>
      </c>
      <c r="K1" s="2" t="s">
        <v>5</v>
      </c>
      <c r="L1" s="6" t="s">
        <v>6</v>
      </c>
      <c r="M1" s="7"/>
    </row>
    <row r="2">
      <c r="A2" s="8" t="s">
        <v>7</v>
      </c>
      <c r="B2" s="9">
        <v>0.0118</v>
      </c>
      <c r="C2" s="9">
        <v>2.0E-4</v>
      </c>
      <c r="D2" s="9">
        <v>0.0</v>
      </c>
      <c r="E2" s="10">
        <f t="shared" ref="E2:E5" si="1">sum(B2:D2)/3</f>
        <v>0.004</v>
      </c>
      <c r="F2" s="4"/>
      <c r="G2" s="4"/>
      <c r="H2" s="8" t="s">
        <v>7</v>
      </c>
      <c r="I2" s="11">
        <f t="shared" ref="I2:I5" si="2">sum(B2:D2)/3</f>
        <v>0.004</v>
      </c>
      <c r="J2" s="12" t="s">
        <v>8</v>
      </c>
      <c r="K2" s="12" t="s">
        <v>9</v>
      </c>
      <c r="L2" s="13" t="s">
        <v>10</v>
      </c>
    </row>
    <row r="3">
      <c r="A3" s="8" t="s">
        <v>11</v>
      </c>
      <c r="B3" s="9">
        <v>3.0E-4</v>
      </c>
      <c r="C3" s="9">
        <v>9.0E-4</v>
      </c>
      <c r="D3" s="9">
        <v>1.0E-4</v>
      </c>
      <c r="E3" s="14">
        <f t="shared" si="1"/>
        <v>0.0004333333333</v>
      </c>
      <c r="F3" s="4"/>
      <c r="G3" s="4"/>
      <c r="H3" s="8" t="s">
        <v>11</v>
      </c>
      <c r="I3" s="11">
        <f t="shared" si="2"/>
        <v>0.0004333333333</v>
      </c>
      <c r="J3" s="12" t="s">
        <v>12</v>
      </c>
      <c r="K3" s="12" t="s">
        <v>13</v>
      </c>
      <c r="L3" s="13" t="s">
        <v>14</v>
      </c>
    </row>
    <row r="4">
      <c r="A4" s="8" t="s">
        <v>15</v>
      </c>
      <c r="B4" s="9">
        <v>0.0</v>
      </c>
      <c r="C4" s="9">
        <v>0.0</v>
      </c>
      <c r="D4" s="9">
        <v>0.0</v>
      </c>
      <c r="E4" s="10">
        <f t="shared" si="1"/>
        <v>0</v>
      </c>
      <c r="F4" s="4"/>
      <c r="G4" s="4"/>
      <c r="H4" s="8" t="s">
        <v>15</v>
      </c>
      <c r="I4" s="11">
        <f t="shared" si="2"/>
        <v>0</v>
      </c>
      <c r="J4" s="15" t="s">
        <v>16</v>
      </c>
      <c r="K4" s="15" t="s">
        <v>17</v>
      </c>
      <c r="L4" s="16" t="s">
        <v>18</v>
      </c>
    </row>
    <row r="5">
      <c r="A5" s="17" t="s">
        <v>19</v>
      </c>
      <c r="B5" s="18">
        <v>0.0</v>
      </c>
      <c r="C5" s="18">
        <v>0.0</v>
      </c>
      <c r="D5" s="18">
        <v>0.0</v>
      </c>
      <c r="E5" s="19">
        <f t="shared" si="1"/>
        <v>0</v>
      </c>
      <c r="F5" s="4"/>
      <c r="G5" s="4"/>
      <c r="H5" s="17" t="s">
        <v>19</v>
      </c>
      <c r="I5" s="20">
        <f t="shared" si="2"/>
        <v>0</v>
      </c>
      <c r="J5" s="21"/>
      <c r="K5" s="21"/>
      <c r="L5" s="22"/>
    </row>
    <row r="6">
      <c r="A6" s="4"/>
      <c r="B6" s="4"/>
      <c r="C6" s="4"/>
      <c r="D6" s="4"/>
      <c r="E6" s="4"/>
      <c r="F6" s="4"/>
      <c r="G6" s="4"/>
      <c r="H6" s="4"/>
      <c r="I6" s="4"/>
      <c r="J6" s="4"/>
      <c r="K6" s="4"/>
      <c r="L6" s="4"/>
    </row>
    <row r="7">
      <c r="A7" s="23"/>
      <c r="B7" s="24"/>
      <c r="C7" s="24"/>
      <c r="D7" s="24"/>
      <c r="E7" s="24"/>
      <c r="F7" s="24"/>
      <c r="G7" s="24"/>
      <c r="H7" s="24"/>
      <c r="I7" s="24"/>
      <c r="J7" s="24"/>
      <c r="K7" s="24"/>
      <c r="L7" s="25"/>
    </row>
    <row r="8">
      <c r="A8" s="26"/>
      <c r="L8" s="27"/>
    </row>
    <row r="9">
      <c r="A9" s="26"/>
      <c r="L9" s="27"/>
    </row>
    <row r="10">
      <c r="A10" s="26"/>
      <c r="L10" s="27"/>
    </row>
    <row r="11">
      <c r="A11" s="26"/>
      <c r="L11" s="27"/>
    </row>
    <row r="12">
      <c r="A12" s="26"/>
      <c r="L12" s="27"/>
    </row>
    <row r="13">
      <c r="A13" s="26"/>
      <c r="L13" s="27"/>
    </row>
    <row r="14">
      <c r="A14" s="26"/>
      <c r="L14" s="27"/>
    </row>
    <row r="15">
      <c r="A15" s="26"/>
      <c r="L15" s="27"/>
    </row>
    <row r="16">
      <c r="A16" s="26"/>
      <c r="L16" s="27"/>
    </row>
    <row r="17">
      <c r="A17" s="26"/>
      <c r="L17" s="27"/>
    </row>
    <row r="18">
      <c r="A18" s="26"/>
      <c r="L18" s="27"/>
    </row>
    <row r="19">
      <c r="A19" s="26"/>
      <c r="L19" s="27"/>
    </row>
    <row r="20">
      <c r="A20" s="26"/>
      <c r="L20" s="27"/>
    </row>
    <row r="21">
      <c r="A21" s="26"/>
      <c r="L21" s="27"/>
    </row>
    <row r="22">
      <c r="A22" s="26"/>
      <c r="L22" s="27"/>
    </row>
    <row r="23">
      <c r="A23" s="26"/>
      <c r="L23" s="27"/>
    </row>
    <row r="24">
      <c r="A24" s="26"/>
      <c r="L24" s="27"/>
    </row>
    <row r="25">
      <c r="A25" s="28"/>
      <c r="B25" s="29"/>
      <c r="C25" s="29"/>
      <c r="D25" s="29"/>
      <c r="E25" s="29"/>
      <c r="F25" s="29"/>
      <c r="G25" s="29"/>
      <c r="H25" s="29"/>
      <c r="I25" s="29"/>
      <c r="J25" s="29"/>
      <c r="K25" s="29"/>
      <c r="L25" s="30"/>
    </row>
  </sheetData>
  <mergeCells count="6">
    <mergeCell ref="J4:J5"/>
    <mergeCell ref="K4:K5"/>
    <mergeCell ref="L4:L5"/>
    <mergeCell ref="M1:T1000"/>
    <mergeCell ref="A26:L1000"/>
    <mergeCell ref="A7:L25"/>
  </mergeCells>
  <conditionalFormatting sqref="I2:I5">
    <cfRule type="colorScale" priority="1">
      <colorScale>
        <cfvo type="min"/>
        <cfvo type="max"/>
        <color rgb="FFFFFFFF"/>
        <color rgb="FFE67C73"/>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4" max="4" width="16.13"/>
    <col customWidth="1" min="8" max="8" width="16.13"/>
    <col customWidth="1" min="10" max="10" width="14.13"/>
    <col customWidth="1" min="11" max="11" width="50.0"/>
  </cols>
  <sheetData>
    <row r="1">
      <c r="A1" s="31" t="s">
        <v>0</v>
      </c>
      <c r="B1" s="31" t="s">
        <v>1</v>
      </c>
      <c r="C1" s="31" t="s">
        <v>2</v>
      </c>
      <c r="D1" s="31" t="s">
        <v>3</v>
      </c>
      <c r="E1" s="31" t="s">
        <v>4</v>
      </c>
      <c r="H1" s="31" t="s">
        <v>0</v>
      </c>
      <c r="I1" s="31" t="s">
        <v>20</v>
      </c>
      <c r="J1" s="31" t="s">
        <v>5</v>
      </c>
      <c r="K1" s="32" t="s">
        <v>21</v>
      </c>
    </row>
    <row r="2">
      <c r="A2" s="12" t="s">
        <v>7</v>
      </c>
      <c r="B2" s="9">
        <v>1.0E-4</v>
      </c>
      <c r="C2" s="9">
        <v>0.0</v>
      </c>
      <c r="D2" s="9">
        <v>1.0E-4</v>
      </c>
      <c r="E2" s="9">
        <v>6.7E-5</v>
      </c>
      <c r="H2" s="12" t="s">
        <v>22</v>
      </c>
      <c r="I2" s="12">
        <v>0.0</v>
      </c>
      <c r="J2" s="12" t="s">
        <v>23</v>
      </c>
      <c r="K2" s="33" t="s">
        <v>24</v>
      </c>
    </row>
    <row r="3">
      <c r="A3" s="12" t="s">
        <v>11</v>
      </c>
      <c r="B3" s="9">
        <v>0.0</v>
      </c>
      <c r="C3" s="9">
        <v>0.0</v>
      </c>
      <c r="D3" s="9">
        <v>0.0</v>
      </c>
      <c r="E3" s="9">
        <v>0.0</v>
      </c>
      <c r="H3" s="12" t="s">
        <v>25</v>
      </c>
      <c r="I3" s="12">
        <v>0.0</v>
      </c>
      <c r="J3" s="12" t="s">
        <v>23</v>
      </c>
      <c r="K3" s="33" t="s">
        <v>26</v>
      </c>
    </row>
    <row r="4">
      <c r="A4" s="12" t="s">
        <v>15</v>
      </c>
      <c r="B4" s="9">
        <v>0.0</v>
      </c>
      <c r="C4" s="9">
        <v>0.0</v>
      </c>
      <c r="D4" s="9">
        <v>0.0</v>
      </c>
      <c r="E4" s="9">
        <v>0.0</v>
      </c>
      <c r="H4" s="12" t="s">
        <v>27</v>
      </c>
      <c r="I4" s="12">
        <v>0.0</v>
      </c>
      <c r="J4" s="12" t="s">
        <v>23</v>
      </c>
      <c r="K4" s="33" t="s">
        <v>28</v>
      </c>
    </row>
    <row r="5">
      <c r="A5" s="15" t="s">
        <v>19</v>
      </c>
      <c r="B5" s="34">
        <v>0.0</v>
      </c>
      <c r="C5" s="34">
        <v>0.0</v>
      </c>
      <c r="D5" s="34">
        <v>0.0</v>
      </c>
      <c r="E5" s="34">
        <v>0.0</v>
      </c>
      <c r="H5" s="15" t="s">
        <v>29</v>
      </c>
      <c r="I5" s="15">
        <v>6.7E-5</v>
      </c>
      <c r="J5" s="15" t="s">
        <v>30</v>
      </c>
      <c r="K5" s="35" t="s">
        <v>31</v>
      </c>
    </row>
    <row r="6">
      <c r="A6" s="23"/>
      <c r="B6" s="24"/>
      <c r="C6" s="24"/>
      <c r="D6" s="24"/>
      <c r="E6" s="24"/>
      <c r="F6" s="24"/>
      <c r="G6" s="24"/>
      <c r="H6" s="24"/>
      <c r="I6" s="24"/>
      <c r="J6" s="24"/>
      <c r="K6" s="25"/>
    </row>
    <row r="7">
      <c r="A7" s="26"/>
      <c r="K7" s="27"/>
    </row>
    <row r="8">
      <c r="A8" s="26"/>
      <c r="K8" s="27"/>
    </row>
    <row r="9">
      <c r="A9" s="26"/>
      <c r="K9" s="27"/>
    </row>
    <row r="10">
      <c r="A10" s="26"/>
      <c r="K10" s="27"/>
    </row>
    <row r="11">
      <c r="A11" s="26"/>
      <c r="K11" s="27"/>
    </row>
    <row r="12">
      <c r="A12" s="26"/>
      <c r="K12" s="27"/>
    </row>
    <row r="13">
      <c r="A13" s="26"/>
      <c r="K13" s="27"/>
    </row>
    <row r="14">
      <c r="A14" s="26"/>
      <c r="K14" s="27"/>
    </row>
    <row r="15">
      <c r="A15" s="26"/>
      <c r="K15" s="27"/>
    </row>
    <row r="16">
      <c r="A16" s="26"/>
      <c r="K16" s="27"/>
    </row>
    <row r="17">
      <c r="A17" s="26"/>
      <c r="K17" s="27"/>
    </row>
    <row r="18">
      <c r="A18" s="26"/>
      <c r="K18" s="27"/>
    </row>
    <row r="19">
      <c r="A19" s="26"/>
      <c r="K19" s="27"/>
    </row>
    <row r="20">
      <c r="A20" s="26"/>
      <c r="K20" s="27"/>
    </row>
    <row r="21">
      <c r="A21" s="26"/>
      <c r="K21" s="27"/>
    </row>
    <row r="22">
      <c r="A22" s="26"/>
      <c r="K22" s="27"/>
    </row>
    <row r="23">
      <c r="A23" s="26"/>
      <c r="K23" s="27"/>
    </row>
    <row r="24">
      <c r="A24" s="26"/>
      <c r="K24" s="27"/>
    </row>
    <row r="25">
      <c r="A25" s="28"/>
      <c r="B25" s="29"/>
      <c r="C25" s="29"/>
      <c r="D25" s="29"/>
      <c r="E25" s="29"/>
      <c r="F25" s="29"/>
      <c r="G25" s="29"/>
      <c r="H25" s="29"/>
      <c r="I25" s="29"/>
      <c r="J25" s="29"/>
      <c r="K25" s="30"/>
    </row>
  </sheetData>
  <mergeCells count="4">
    <mergeCell ref="L1:Z1000"/>
    <mergeCell ref="G26:K1000"/>
    <mergeCell ref="A26:F1000"/>
    <mergeCell ref="A6:K2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0.63"/>
    <col customWidth="1" min="8" max="8" width="7.5"/>
    <col customWidth="1" min="9" max="9" width="14.63"/>
    <col customWidth="1" min="10" max="10" width="53.88"/>
  </cols>
  <sheetData>
    <row r="1">
      <c r="A1" s="36" t="s">
        <v>0</v>
      </c>
      <c r="B1" s="37" t="s">
        <v>1</v>
      </c>
      <c r="C1" s="37" t="s">
        <v>2</v>
      </c>
      <c r="D1" s="37" t="s">
        <v>3</v>
      </c>
      <c r="E1" s="37" t="s">
        <v>20</v>
      </c>
      <c r="F1" s="38"/>
      <c r="G1" s="39" t="s">
        <v>0</v>
      </c>
      <c r="H1" s="39" t="s">
        <v>4</v>
      </c>
      <c r="I1" s="39" t="s">
        <v>32</v>
      </c>
      <c r="J1" s="40" t="s">
        <v>33</v>
      </c>
    </row>
    <row r="2">
      <c r="A2" s="41" t="s">
        <v>7</v>
      </c>
      <c r="B2" s="7">
        <v>1.0E-4</v>
      </c>
      <c r="C2" s="7">
        <v>0.0</v>
      </c>
      <c r="D2" s="7">
        <v>1.0E-4</v>
      </c>
      <c r="E2" s="42">
        <v>6.7E-5</v>
      </c>
      <c r="G2" s="42" t="s">
        <v>22</v>
      </c>
      <c r="H2" s="7">
        <v>0.0</v>
      </c>
      <c r="I2" s="7" t="s">
        <v>34</v>
      </c>
      <c r="J2" s="43" t="s">
        <v>35</v>
      </c>
    </row>
    <row r="3">
      <c r="A3" s="41" t="s">
        <v>11</v>
      </c>
      <c r="B3" s="7">
        <v>0.0</v>
      </c>
      <c r="C3" s="7">
        <v>0.0</v>
      </c>
      <c r="D3" s="7">
        <v>0.0</v>
      </c>
      <c r="E3" s="42">
        <v>0.0</v>
      </c>
      <c r="G3" s="42" t="s">
        <v>25</v>
      </c>
      <c r="H3" s="7">
        <v>0.0</v>
      </c>
      <c r="I3" s="7" t="s">
        <v>34</v>
      </c>
      <c r="J3" s="43" t="s">
        <v>36</v>
      </c>
    </row>
    <row r="4">
      <c r="A4" s="41" t="s">
        <v>15</v>
      </c>
      <c r="B4" s="7">
        <v>0.0</v>
      </c>
      <c r="C4" s="7">
        <v>0.0</v>
      </c>
      <c r="D4" s="7">
        <v>0.0</v>
      </c>
      <c r="E4" s="42">
        <v>0.0</v>
      </c>
      <c r="G4" s="42" t="s">
        <v>27</v>
      </c>
      <c r="H4" s="7">
        <v>0.0</v>
      </c>
      <c r="I4" s="7" t="s">
        <v>34</v>
      </c>
      <c r="J4" s="43" t="s">
        <v>37</v>
      </c>
    </row>
    <row r="5">
      <c r="A5" s="44" t="s">
        <v>19</v>
      </c>
      <c r="B5" s="45">
        <v>0.0</v>
      </c>
      <c r="C5" s="45">
        <v>0.0</v>
      </c>
      <c r="D5" s="45">
        <v>0.0</v>
      </c>
      <c r="E5" s="46">
        <v>0.0</v>
      </c>
      <c r="F5" s="47"/>
      <c r="G5" s="46" t="s">
        <v>29</v>
      </c>
      <c r="H5" s="45">
        <v>6.7E-5</v>
      </c>
      <c r="I5" s="45" t="s">
        <v>38</v>
      </c>
      <c r="J5" s="48" t="s">
        <v>39</v>
      </c>
    </row>
    <row r="6">
      <c r="J6" s="49"/>
    </row>
    <row r="7">
      <c r="J7" s="49"/>
    </row>
    <row r="8">
      <c r="J8" s="49"/>
    </row>
    <row r="9">
      <c r="J9" s="49"/>
    </row>
    <row r="10">
      <c r="J10" s="49"/>
    </row>
    <row r="11">
      <c r="J11" s="49"/>
    </row>
    <row r="12">
      <c r="J12" s="49"/>
    </row>
    <row r="13">
      <c r="J13" s="49"/>
    </row>
    <row r="14">
      <c r="J14" s="49"/>
    </row>
    <row r="15">
      <c r="J15" s="49"/>
    </row>
    <row r="16">
      <c r="J16" s="49"/>
    </row>
    <row r="17">
      <c r="J17" s="49"/>
    </row>
    <row r="18">
      <c r="J18" s="49"/>
    </row>
    <row r="19">
      <c r="J19" s="49"/>
    </row>
    <row r="20">
      <c r="J20" s="49"/>
    </row>
    <row r="21">
      <c r="J21" s="49"/>
    </row>
    <row r="22">
      <c r="J22" s="49"/>
    </row>
    <row r="23">
      <c r="J23" s="49"/>
    </row>
    <row r="24">
      <c r="J24" s="49"/>
    </row>
    <row r="25">
      <c r="J25" s="49"/>
    </row>
  </sheetData>
  <mergeCells count="2">
    <mergeCell ref="K1:Z1000"/>
    <mergeCell ref="A26:J100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4" max="4" width="15.88"/>
    <col customWidth="1" min="5" max="5" width="14.38"/>
    <col customWidth="1" min="10" max="10" width="14.38"/>
    <col customWidth="1" min="11" max="11" width="64.75"/>
  </cols>
  <sheetData>
    <row r="1">
      <c r="A1" s="50" t="s">
        <v>0</v>
      </c>
      <c r="B1" s="51" t="s">
        <v>1</v>
      </c>
      <c r="C1" s="51" t="s">
        <v>2</v>
      </c>
      <c r="D1" s="51" t="s">
        <v>3</v>
      </c>
      <c r="E1" s="51" t="s">
        <v>4</v>
      </c>
      <c r="F1" s="51"/>
      <c r="G1" s="51"/>
      <c r="H1" s="52"/>
      <c r="I1" s="51" t="s">
        <v>0</v>
      </c>
      <c r="J1" s="51" t="s">
        <v>20</v>
      </c>
      <c r="K1" s="53" t="s">
        <v>40</v>
      </c>
    </row>
    <row r="2">
      <c r="A2" s="54" t="s">
        <v>7</v>
      </c>
      <c r="B2" s="55">
        <v>0.0118</v>
      </c>
      <c r="C2" s="55">
        <v>2.0E-4</v>
      </c>
      <c r="D2" s="55">
        <v>0.0</v>
      </c>
      <c r="E2" s="55">
        <f t="shared" ref="E2:E5" si="1">sum(B2:D2)/3</f>
        <v>0.004</v>
      </c>
      <c r="I2" s="55" t="s">
        <v>29</v>
      </c>
      <c r="J2" s="55">
        <v>0.004</v>
      </c>
      <c r="K2" s="56" t="s">
        <v>41</v>
      </c>
    </row>
    <row r="3">
      <c r="A3" s="54" t="s">
        <v>11</v>
      </c>
      <c r="B3" s="55">
        <v>3.0E-4</v>
      </c>
      <c r="C3" s="55">
        <v>9.0E-4</v>
      </c>
      <c r="D3" s="55">
        <v>1.0E-4</v>
      </c>
      <c r="E3" s="55">
        <f t="shared" si="1"/>
        <v>0.0004333333333</v>
      </c>
      <c r="I3" s="55" t="s">
        <v>22</v>
      </c>
      <c r="J3" s="55">
        <v>4.333333333E-4</v>
      </c>
      <c r="K3" s="56" t="s">
        <v>42</v>
      </c>
    </row>
    <row r="4">
      <c r="A4" s="54" t="s">
        <v>15</v>
      </c>
      <c r="B4" s="55">
        <v>0.0</v>
      </c>
      <c r="C4" s="55">
        <v>0.0</v>
      </c>
      <c r="D4" s="55">
        <v>0.0</v>
      </c>
      <c r="E4" s="55">
        <f t="shared" si="1"/>
        <v>0</v>
      </c>
      <c r="I4" s="55" t="s">
        <v>27</v>
      </c>
      <c r="J4" s="55">
        <v>0.0</v>
      </c>
      <c r="K4" s="56" t="s">
        <v>43</v>
      </c>
    </row>
    <row r="5">
      <c r="A5" s="57" t="s">
        <v>19</v>
      </c>
      <c r="B5" s="58">
        <v>0.0</v>
      </c>
      <c r="C5" s="58">
        <v>0.0</v>
      </c>
      <c r="D5" s="58">
        <v>0.0</v>
      </c>
      <c r="E5" s="58">
        <f t="shared" si="1"/>
        <v>0</v>
      </c>
      <c r="F5" s="47"/>
      <c r="G5" s="47"/>
      <c r="H5" s="47"/>
      <c r="I5" s="58" t="s">
        <v>25</v>
      </c>
      <c r="J5" s="58">
        <v>0.0</v>
      </c>
      <c r="K5" s="59" t="s">
        <v>44</v>
      </c>
    </row>
    <row r="6">
      <c r="A6" s="60"/>
      <c r="K6" s="61"/>
    </row>
    <row r="7">
      <c r="A7" s="60"/>
      <c r="K7" s="61"/>
    </row>
    <row r="8">
      <c r="A8" s="60"/>
      <c r="K8" s="61"/>
    </row>
    <row r="9">
      <c r="A9" s="60"/>
      <c r="K9" s="61"/>
    </row>
    <row r="10">
      <c r="A10" s="60"/>
      <c r="K10" s="61"/>
    </row>
    <row r="11">
      <c r="A11" s="60"/>
      <c r="K11" s="61"/>
    </row>
    <row r="12">
      <c r="A12" s="60"/>
      <c r="K12" s="61"/>
    </row>
    <row r="13">
      <c r="A13" s="60"/>
      <c r="K13" s="61"/>
    </row>
    <row r="14">
      <c r="A14" s="60"/>
      <c r="K14" s="61"/>
    </row>
    <row r="15">
      <c r="A15" s="60"/>
      <c r="K15" s="61"/>
    </row>
    <row r="16">
      <c r="A16" s="60"/>
      <c r="K16" s="61"/>
    </row>
    <row r="17">
      <c r="A17" s="60"/>
      <c r="K17" s="61"/>
    </row>
    <row r="18">
      <c r="A18" s="60"/>
      <c r="K18" s="61"/>
    </row>
    <row r="19">
      <c r="A19" s="60"/>
      <c r="K19" s="61"/>
    </row>
    <row r="20">
      <c r="A20" s="60"/>
      <c r="K20" s="61"/>
    </row>
    <row r="21">
      <c r="A21" s="60"/>
      <c r="K21" s="61"/>
    </row>
    <row r="22">
      <c r="A22" s="60"/>
      <c r="K22" s="61"/>
    </row>
    <row r="23">
      <c r="A23" s="60"/>
      <c r="K23" s="61"/>
    </row>
    <row r="24">
      <c r="A24" s="60"/>
      <c r="K24" s="61"/>
    </row>
    <row r="25">
      <c r="A25" s="60"/>
      <c r="K25" s="61"/>
    </row>
    <row r="26">
      <c r="A26" s="62"/>
      <c r="B26" s="47"/>
      <c r="C26" s="47"/>
      <c r="D26" s="47"/>
      <c r="E26" s="47"/>
      <c r="F26" s="47"/>
      <c r="G26" s="47"/>
      <c r="H26" s="47"/>
      <c r="I26" s="47"/>
      <c r="J26" s="47"/>
      <c r="K26" s="63"/>
    </row>
  </sheetData>
  <mergeCells count="2">
    <mergeCell ref="L1:Z1000"/>
    <mergeCell ref="A27:K100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15.38"/>
    <col customWidth="1" min="3" max="3" width="11.88"/>
    <col customWidth="1" min="4" max="4" width="15.88"/>
    <col customWidth="1" min="9" max="9" width="13.88"/>
    <col customWidth="1" min="10" max="10" width="66.13"/>
  </cols>
  <sheetData>
    <row r="1">
      <c r="A1" s="64" t="s">
        <v>0</v>
      </c>
      <c r="B1" s="65" t="s">
        <v>1</v>
      </c>
      <c r="C1" s="65" t="s">
        <v>2</v>
      </c>
      <c r="D1" s="65" t="s">
        <v>3</v>
      </c>
      <c r="E1" s="66" t="s">
        <v>4</v>
      </c>
      <c r="F1" s="67"/>
      <c r="G1" s="67" t="s">
        <v>0</v>
      </c>
      <c r="H1" s="67" t="s">
        <v>4</v>
      </c>
      <c r="I1" s="67" t="s">
        <v>32</v>
      </c>
      <c r="J1" s="68" t="s">
        <v>33</v>
      </c>
    </row>
    <row r="2">
      <c r="A2" s="69" t="s">
        <v>7</v>
      </c>
      <c r="B2" s="70">
        <v>7.0E-5</v>
      </c>
      <c r="C2" s="70">
        <v>6.2E-5</v>
      </c>
      <c r="D2" s="70">
        <v>1.4E-5</v>
      </c>
      <c r="E2" s="70">
        <f t="shared" ref="E2:E5" si="1">sum(B2:D2)/3</f>
        <v>0.00004866666667</v>
      </c>
      <c r="G2" s="55" t="s">
        <v>22</v>
      </c>
      <c r="H2" s="55">
        <v>0.0</v>
      </c>
      <c r="I2" s="55" t="s">
        <v>34</v>
      </c>
      <c r="J2" s="71" t="s">
        <v>45</v>
      </c>
    </row>
    <row r="3">
      <c r="A3" s="69" t="s">
        <v>11</v>
      </c>
      <c r="B3" s="70">
        <v>0.0</v>
      </c>
      <c r="C3" s="70">
        <v>0.0</v>
      </c>
      <c r="D3" s="70">
        <v>0.0</v>
      </c>
      <c r="E3" s="70">
        <f t="shared" si="1"/>
        <v>0</v>
      </c>
      <c r="G3" s="55" t="s">
        <v>25</v>
      </c>
      <c r="H3" s="55">
        <v>0.0</v>
      </c>
      <c r="I3" s="55" t="s">
        <v>34</v>
      </c>
      <c r="J3" s="71" t="s">
        <v>46</v>
      </c>
    </row>
    <row r="4">
      <c r="A4" s="69" t="s">
        <v>15</v>
      </c>
      <c r="B4" s="70">
        <v>0.0</v>
      </c>
      <c r="C4" s="70">
        <v>0.0</v>
      </c>
      <c r="D4" s="70">
        <v>0.0</v>
      </c>
      <c r="E4" s="70">
        <f t="shared" si="1"/>
        <v>0</v>
      </c>
      <c r="G4" s="55" t="s">
        <v>27</v>
      </c>
      <c r="H4" s="55">
        <v>0.0</v>
      </c>
      <c r="I4" s="55" t="s">
        <v>34</v>
      </c>
      <c r="J4" s="71" t="s">
        <v>47</v>
      </c>
    </row>
    <row r="5">
      <c r="A5" s="72" t="s">
        <v>19</v>
      </c>
      <c r="B5" s="73">
        <v>0.0</v>
      </c>
      <c r="C5" s="73">
        <v>0.0</v>
      </c>
      <c r="D5" s="73">
        <v>0.0</v>
      </c>
      <c r="E5" s="73">
        <f t="shared" si="1"/>
        <v>0</v>
      </c>
      <c r="F5" s="74"/>
      <c r="G5" s="75" t="s">
        <v>29</v>
      </c>
      <c r="H5" s="75">
        <v>4.87E-5</v>
      </c>
      <c r="I5" s="75" t="s">
        <v>38</v>
      </c>
      <c r="J5" s="76" t="s">
        <v>48</v>
      </c>
    </row>
    <row r="6">
      <c r="J6" s="49"/>
    </row>
    <row r="7">
      <c r="A7" s="77"/>
      <c r="B7" s="77"/>
      <c r="C7" s="77"/>
      <c r="D7" s="77"/>
      <c r="E7" s="77"/>
      <c r="J7" s="49"/>
    </row>
    <row r="8">
      <c r="J8" s="49"/>
    </row>
    <row r="9">
      <c r="J9" s="49"/>
    </row>
    <row r="10">
      <c r="J10" s="49"/>
    </row>
    <row r="11">
      <c r="J11" s="49"/>
    </row>
    <row r="12">
      <c r="J12" s="49"/>
    </row>
    <row r="13">
      <c r="J13" s="49"/>
    </row>
    <row r="14">
      <c r="J14" s="49"/>
    </row>
    <row r="15">
      <c r="J15" s="49"/>
    </row>
    <row r="16">
      <c r="J16" s="49"/>
    </row>
    <row r="17">
      <c r="J17" s="49"/>
    </row>
    <row r="18">
      <c r="J18" s="49"/>
    </row>
    <row r="19">
      <c r="J19" s="49"/>
    </row>
    <row r="20">
      <c r="J20" s="49"/>
    </row>
    <row r="21">
      <c r="J21" s="49"/>
    </row>
    <row r="22">
      <c r="J22" s="49"/>
    </row>
    <row r="23">
      <c r="J23" s="49"/>
    </row>
    <row r="24">
      <c r="J24" s="49"/>
    </row>
    <row r="25">
      <c r="J25" s="49"/>
    </row>
    <row r="26">
      <c r="J26" s="49"/>
    </row>
    <row r="27">
      <c r="J27" s="49"/>
    </row>
    <row r="28">
      <c r="J28" s="49"/>
    </row>
    <row r="29">
      <c r="J29" s="49"/>
    </row>
  </sheetData>
  <mergeCells count="2">
    <mergeCell ref="K1:Z1000"/>
    <mergeCell ref="A30:J100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4.75"/>
    <col customWidth="1" min="4" max="4" width="14.38"/>
    <col customWidth="1" min="6" max="6" width="15.5"/>
    <col customWidth="1" min="7" max="7" width="14.0"/>
    <col customWidth="1" min="9" max="9" width="15.5"/>
    <col customWidth="1" min="12" max="12" width="15.5"/>
    <col customWidth="1" min="13" max="13" width="14.38"/>
    <col customWidth="1" min="15" max="15" width="15.5"/>
  </cols>
  <sheetData>
    <row r="1">
      <c r="A1" s="55"/>
      <c r="B1" s="78"/>
      <c r="C1" s="79"/>
      <c r="D1" s="79"/>
      <c r="E1" s="80"/>
      <c r="F1" s="79"/>
      <c r="G1" s="81" t="s">
        <v>49</v>
      </c>
      <c r="H1" s="24"/>
      <c r="I1" s="24"/>
      <c r="J1" s="24"/>
      <c r="K1" s="24"/>
      <c r="L1" s="82"/>
      <c r="M1" s="82"/>
      <c r="N1" s="80"/>
      <c r="O1" s="82"/>
      <c r="P1" s="82"/>
      <c r="Q1" s="83"/>
    </row>
    <row r="2">
      <c r="B2" s="84"/>
      <c r="C2" s="55"/>
      <c r="D2" s="55"/>
      <c r="F2" s="55"/>
      <c r="L2" s="77"/>
      <c r="M2" s="77"/>
      <c r="O2" s="77"/>
      <c r="P2" s="77"/>
      <c r="Q2" s="85"/>
    </row>
    <row r="3">
      <c r="B3" s="84"/>
      <c r="C3" s="55"/>
      <c r="D3" s="55"/>
      <c r="F3" s="55"/>
      <c r="G3" s="55"/>
      <c r="I3" s="55"/>
      <c r="J3" s="55"/>
      <c r="L3" s="77"/>
      <c r="M3" s="77"/>
      <c r="O3" s="77"/>
      <c r="P3" s="77"/>
      <c r="Q3" s="85"/>
    </row>
    <row r="4">
      <c r="B4" s="84"/>
      <c r="C4" s="55"/>
      <c r="D4" s="55"/>
      <c r="F4" s="55"/>
      <c r="G4" s="55"/>
      <c r="I4" s="55"/>
      <c r="J4" s="55"/>
      <c r="L4" s="77"/>
      <c r="M4" s="77"/>
      <c r="O4" s="77"/>
      <c r="P4" s="77"/>
      <c r="Q4" s="85"/>
    </row>
    <row r="5">
      <c r="B5" s="86"/>
      <c r="C5" s="87" t="s">
        <v>50</v>
      </c>
      <c r="D5" s="25"/>
      <c r="E5" s="88"/>
      <c r="F5" s="89" t="s">
        <v>51</v>
      </c>
      <c r="G5" s="25"/>
      <c r="H5" s="88"/>
      <c r="I5" s="90" t="s">
        <v>52</v>
      </c>
      <c r="J5" s="25"/>
      <c r="K5" s="88"/>
      <c r="L5" s="91" t="s">
        <v>53</v>
      </c>
      <c r="M5" s="25"/>
      <c r="N5" s="88"/>
      <c r="O5" s="92" t="s">
        <v>54</v>
      </c>
      <c r="P5" s="25"/>
      <c r="Q5" s="93"/>
    </row>
    <row r="6">
      <c r="B6" s="94"/>
      <c r="C6" s="94" t="s">
        <v>0</v>
      </c>
      <c r="D6" s="95" t="s">
        <v>4</v>
      </c>
      <c r="E6" s="96"/>
      <c r="F6" s="94" t="s">
        <v>0</v>
      </c>
      <c r="G6" s="95" t="s">
        <v>20</v>
      </c>
      <c r="H6" s="96"/>
      <c r="I6" s="94" t="s">
        <v>0</v>
      </c>
      <c r="J6" s="95" t="s">
        <v>4</v>
      </c>
      <c r="K6" s="96"/>
      <c r="L6" s="86" t="s">
        <v>0</v>
      </c>
      <c r="M6" s="97" t="s">
        <v>4</v>
      </c>
      <c r="N6" s="96"/>
      <c r="O6" s="86" t="s">
        <v>0</v>
      </c>
      <c r="P6" s="97" t="s">
        <v>4</v>
      </c>
      <c r="Q6" s="98"/>
    </row>
    <row r="7">
      <c r="B7" s="84"/>
      <c r="C7" s="84" t="s">
        <v>7</v>
      </c>
      <c r="D7" s="85">
        <v>0.004</v>
      </c>
      <c r="F7" s="84" t="s">
        <v>22</v>
      </c>
      <c r="G7" s="99">
        <v>0.0</v>
      </c>
      <c r="I7" s="84" t="s">
        <v>22</v>
      </c>
      <c r="J7" s="99">
        <v>0.0</v>
      </c>
      <c r="L7" s="84" t="s">
        <v>29</v>
      </c>
      <c r="M7" s="99">
        <v>0.004</v>
      </c>
      <c r="O7" s="84" t="s">
        <v>22</v>
      </c>
      <c r="P7" s="99">
        <v>0.0</v>
      </c>
      <c r="Q7" s="85"/>
    </row>
    <row r="8">
      <c r="B8" s="84"/>
      <c r="C8" s="84" t="s">
        <v>11</v>
      </c>
      <c r="D8" s="85">
        <v>4.333333333333333E-4</v>
      </c>
      <c r="F8" s="84" t="s">
        <v>25</v>
      </c>
      <c r="G8" s="99">
        <v>0.0</v>
      </c>
      <c r="I8" s="84" t="s">
        <v>25</v>
      </c>
      <c r="J8" s="99">
        <v>0.0</v>
      </c>
      <c r="L8" s="84" t="s">
        <v>22</v>
      </c>
      <c r="M8" s="100">
        <v>4.333333333E-4</v>
      </c>
      <c r="O8" s="84" t="s">
        <v>25</v>
      </c>
      <c r="P8" s="99">
        <v>0.0</v>
      </c>
      <c r="Q8" s="85"/>
    </row>
    <row r="9">
      <c r="B9" s="84"/>
      <c r="C9" s="84" t="s">
        <v>15</v>
      </c>
      <c r="D9" s="85">
        <v>0.0</v>
      </c>
      <c r="F9" s="84" t="s">
        <v>27</v>
      </c>
      <c r="G9" s="99">
        <v>0.0</v>
      </c>
      <c r="I9" s="84" t="s">
        <v>27</v>
      </c>
      <c r="J9" s="99">
        <v>0.0</v>
      </c>
      <c r="L9" s="84" t="s">
        <v>27</v>
      </c>
      <c r="M9" s="99">
        <v>0.0</v>
      </c>
      <c r="O9" s="84" t="s">
        <v>27</v>
      </c>
      <c r="P9" s="99">
        <v>0.0</v>
      </c>
      <c r="Q9" s="85"/>
    </row>
    <row r="10">
      <c r="B10" s="84"/>
      <c r="C10" s="101" t="s">
        <v>19</v>
      </c>
      <c r="D10" s="102">
        <v>0.0</v>
      </c>
      <c r="F10" s="101" t="s">
        <v>29</v>
      </c>
      <c r="G10" s="103">
        <v>6.7E-5</v>
      </c>
      <c r="I10" s="101" t="s">
        <v>29</v>
      </c>
      <c r="J10" s="103">
        <v>6.7E-5</v>
      </c>
      <c r="L10" s="101" t="s">
        <v>25</v>
      </c>
      <c r="M10" s="103">
        <v>0.0</v>
      </c>
      <c r="O10" s="101" t="s">
        <v>29</v>
      </c>
      <c r="P10" s="103">
        <v>4.87E-5</v>
      </c>
      <c r="Q10" s="85"/>
    </row>
    <row r="11">
      <c r="B11" s="104"/>
      <c r="Q11" s="85"/>
    </row>
    <row r="12">
      <c r="B12" s="104"/>
      <c r="Q12" s="85"/>
    </row>
    <row r="13">
      <c r="B13" s="104"/>
      <c r="Q13" s="85"/>
    </row>
    <row r="14">
      <c r="B14" s="104"/>
      <c r="Q14" s="85"/>
    </row>
    <row r="15">
      <c r="B15" s="104"/>
      <c r="Q15" s="85"/>
    </row>
    <row r="16">
      <c r="B16" s="104"/>
      <c r="Q16" s="85"/>
    </row>
    <row r="17">
      <c r="B17" s="104"/>
      <c r="Q17" s="85"/>
    </row>
    <row r="18">
      <c r="B18" s="104"/>
      <c r="Q18" s="85"/>
    </row>
    <row r="19">
      <c r="B19" s="104"/>
      <c r="Q19" s="85"/>
    </row>
    <row r="20">
      <c r="B20" s="104"/>
      <c r="E20" s="78" t="s">
        <v>7</v>
      </c>
      <c r="F20" s="83">
        <f>sum(D7+G10+J10+M7+P10)/5</f>
        <v>0.00163654</v>
      </c>
      <c r="Q20" s="85"/>
    </row>
    <row r="21">
      <c r="B21" s="104"/>
      <c r="E21" s="84" t="s">
        <v>11</v>
      </c>
      <c r="F21" s="85">
        <f>SUM(D8+G9+J9+M9+P9)/5</f>
        <v>0.00008666666667</v>
      </c>
      <c r="Q21" s="85"/>
    </row>
    <row r="22">
      <c r="B22" s="104"/>
      <c r="E22" s="84" t="s">
        <v>55</v>
      </c>
      <c r="F22" s="85">
        <f>SUM(D9+G7+J7+M8+P7)/5</f>
        <v>0.00008666666666</v>
      </c>
      <c r="Q22" s="85"/>
    </row>
    <row r="23">
      <c r="B23" s="104"/>
      <c r="E23" s="101" t="s">
        <v>25</v>
      </c>
      <c r="F23" s="102">
        <f>sum(D10+G8+J8+M10+P8)/5</f>
        <v>0</v>
      </c>
      <c r="Q23" s="85"/>
    </row>
    <row r="24">
      <c r="B24" s="104"/>
      <c r="Q24" s="85"/>
    </row>
    <row r="25">
      <c r="B25" s="104"/>
      <c r="Q25" s="85"/>
    </row>
    <row r="26">
      <c r="B26" s="104"/>
      <c r="Q26" s="85"/>
    </row>
    <row r="27">
      <c r="B27" s="104"/>
      <c r="Q27" s="85"/>
    </row>
    <row r="28">
      <c r="B28" s="104"/>
      <c r="Q28" s="85"/>
    </row>
    <row r="29">
      <c r="B29" s="104"/>
      <c r="Q29" s="85"/>
    </row>
    <row r="30">
      <c r="B30" s="105"/>
      <c r="C30" s="74"/>
      <c r="D30" s="74"/>
      <c r="E30" s="74"/>
      <c r="F30" s="74"/>
      <c r="G30" s="74"/>
      <c r="H30" s="74"/>
      <c r="I30" s="74"/>
      <c r="J30" s="74"/>
      <c r="K30" s="74"/>
      <c r="L30" s="74"/>
      <c r="M30" s="74"/>
      <c r="N30" s="74"/>
      <c r="O30" s="74"/>
      <c r="P30" s="74"/>
      <c r="Q30" s="102"/>
    </row>
  </sheetData>
  <mergeCells count="9">
    <mergeCell ref="O5:P5"/>
    <mergeCell ref="B31:Q1005"/>
    <mergeCell ref="C5:D5"/>
    <mergeCell ref="F5:G5"/>
    <mergeCell ref="I5:J5"/>
    <mergeCell ref="L5:M5"/>
    <mergeCell ref="G1:K2"/>
    <mergeCell ref="R1:AB1005"/>
    <mergeCell ref="A1:A1005"/>
  </mergeCells>
  <conditionalFormatting sqref="A1:AB1005">
    <cfRule type="colorScale" priority="1">
      <colorScale>
        <cfvo type="min"/>
        <cfvo type="percentile" val="50"/>
        <cfvo type="max"/>
        <color rgb="FF57BB8A"/>
        <color rgb="FFFFD666"/>
        <color rgb="FFE67C73"/>
      </colorScale>
    </cfRule>
  </conditionalFormatting>
  <drawing r:id="rId1"/>
</worksheet>
</file>